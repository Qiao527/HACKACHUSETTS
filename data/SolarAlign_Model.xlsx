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Inputs" sheetId="3" state="visible" r:id="rId5"/>
    <sheet name="PVWatts" sheetId="4" state="visible" r:id="rId6"/>
    <sheet name="CashFlows" sheetId="5" state="visible" r:id="rId7"/>
    <sheet name="Referenc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<sst xmlns="http://schemas.openxmlformats.org/spreadsheetml/2006/main" count="293" uniqueCount="217">
  <si>
    <t xml:space="preserve">SolarAlign model workbook</t>
  </si>
  <si>
    <t xml:space="preserve">What this is</t>
  </si>
  <si>
    <t xml:space="preserve">One linked workbook that mirrors src/lib/scheduleModel.ts. Inputs and PVWatts data feed yearly cash flows, which feed the summary. Change an input and every sheet updates.</t>
  </si>
  <si>
    <t xml:space="preserve">Flow</t>
  </si>
  <si>
    <t xml:space="preserve">PVWatts (monthly kWh) -&gt; Inputs (annual kWh, costs, rates) -&gt; CashFlows (years 0-30, three schedules + baseline) -&gt; Summary (NPV, break-even, owner vs tenant).</t>
  </si>
  <si>
    <t xml:space="preserve">Sheets</t>
  </si>
  <si>
    <t xml:space="preserve">Summary: results and checks. Inputs: every number with status, source and link. PVWatts: the real production data. CashFlows: the yearly math. Reference: primary figures behind the sourced inputs.</t>
  </si>
  <si>
    <t xml:space="preserve">Colors</t>
  </si>
  <si>
    <t xml:space="preserve">Blue = hardcoded value. Black = formula. Green = pulled from another sheet. Yellow = replace with a confirmed value (roof cost, roof year, removal cost) or edit the owner-share scenarios.</t>
  </si>
  <si>
    <t xml:space="preserve">Method</t>
  </si>
  <si>
    <t xml:space="preserve">Incremental NPV = NPV(schedule) - NPV(roof-only baseline). Time 0 = today; a project installed at time s pays at s and produces from year s+1; discounting uses a REAL discount rate, so escalation is a real growth rate.</t>
  </si>
  <si>
    <t xml:space="preserve">Honest limits</t>
  </si>
  <si>
    <t xml:space="preserve">Roof cost, roof year, removal cost, downtime, owner share and escalation are assumed. The electricity price is a single-month commercial average (a ceiling). No incentives, no structural approval, no legal eligibility for tenant credits. Synthetic property.</t>
  </si>
  <si>
    <t xml:space="preserve">Link to the code</t>
  </si>
  <si>
    <t xml:space="preserve">Inputs mirror data/assumptions.json. Results should match npm run schedules. If you change values here, change them in the JSON too.</t>
  </si>
  <si>
    <t xml:space="preserve">Results: three roof/solar schedules vs roof-only baseline</t>
  </si>
  <si>
    <t xml:space="preserve">Everything here is a formula. Change Inputs (or the owner-share row below) and it updates. Synthetic property; roof inputs are assumed until confirmed.</t>
  </si>
  <si>
    <t xml:space="preserve">Schedule</t>
  </si>
  <si>
    <t xml:space="preserve">Incremental owner NPV</t>
  </si>
  <si>
    <t xml:space="preserve">PV solar capex</t>
  </si>
  <si>
    <t xml:space="preserve">PV O&amp;M</t>
  </si>
  <si>
    <t xml:space="preserve">PV removal / reinstall</t>
  </si>
  <si>
    <t xml:space="preserve">Roof timing penalty</t>
  </si>
  <si>
    <t xml:space="preserve">PV electricity value to owner</t>
  </si>
  <si>
    <t xml:space="preserve">PV electricity value to tenants</t>
  </si>
  <si>
    <t xml:space="preserve">Total PV electricity value</t>
  </si>
  <si>
    <t xml:space="preserve">A: Solar now, remove &amp; reinstall later</t>
  </si>
  <si>
    <t xml:space="preserve">B: Replace roof now + solar now</t>
  </si>
  <si>
    <t xml:space="preserve">C: Replace roof at planned time + solar then</t>
  </si>
  <si>
    <t xml:space="preserve">Roof-only baseline NPV</t>
  </si>
  <si>
    <t xml:space="preserve">Owner share of electricity value (from Inputs)</t>
  </si>
  <si>
    <t xml:space="preserve">Best schedule for the owner</t>
  </si>
  <si>
    <t xml:space="preserve">Break-even removal/reinstall cost for schedule A</t>
  </si>
  <si>
    <t xml:space="preserve">vs doing nothing (NPV = 0)</t>
  </si>
  <si>
    <t xml:space="preserve">vs best alternative (B or C)</t>
  </si>
  <si>
    <t xml:space="preserve">Owner NPV by owner share (same solar production in every column)</t>
  </si>
  <si>
    <t xml:space="preserve">Schedule  /  owner share of electricity value</t>
  </si>
  <si>
    <t xml:space="preserve">Electricity value that goes to tenants (present value)</t>
  </si>
  <si>
    <t xml:space="preserve">Checks</t>
  </si>
  <si>
    <t xml:space="preserve">Owner + tenant value = total value (all schedules)</t>
  </si>
  <si>
    <t xml:space="preserve">Owner-share table matches schedule results at current share</t>
  </si>
  <si>
    <t xml:space="preserve">Monthly PVWatts values add up to annual</t>
  </si>
  <si>
    <t xml:space="preserve">Roof year inside horizon</t>
  </si>
  <si>
    <t xml:space="preserve">Model inputs</t>
  </si>
  <si>
    <t xml:space="preserve">Blue = hardcoded value you can change. Green = pulled from another sheet. Yellow = replace with confirmed value (synthetic PCA report / quote).</t>
  </si>
  <si>
    <t xml:space="preserve">Input</t>
  </si>
  <si>
    <t xml:space="preserve">Value</t>
  </si>
  <si>
    <t xml:space="preserve">Unit</t>
  </si>
  <si>
    <t xml:space="preserve">Status</t>
  </si>
  <si>
    <t xml:space="preserve">Source</t>
  </si>
  <si>
    <t xml:space="preserve">Link</t>
  </si>
  <si>
    <t xml:space="preserve">Notes / caveats</t>
  </si>
  <si>
    <t xml:space="preserve">Annual AC production, year 1</t>
  </si>
  <si>
    <t xml:space="preserve">kWh</t>
  </si>
  <si>
    <t xml:space="preserve">Sourced</t>
  </si>
  <si>
    <t xml:space="preserve">PVWatts V8 API response saved at fixtures/pvwatts_demo_property_a.json (outputs.ac_annual)</t>
  </si>
  <si>
    <t xml:space="preserve">https://developer.nlr.gov/docs/solar/pvwatts/v8/</t>
  </si>
  <si>
    <t xml:space="preserve">NSRDB TMY-2020 weather; grid cell ~1.1 km from the input coordinates. Typical-year estimate, not a guarantee. Retrieved date = date the fixture was pulled; edit if different.</t>
  </si>
  <si>
    <t xml:space="preserve">System capacity</t>
  </si>
  <si>
    <t xml:space="preserve">kW DC</t>
  </si>
  <si>
    <t xml:space="preserve">Assumed</t>
  </si>
  <si>
    <t xml:space="preserve">Input to the PVWatts request (system_capacity=500)</t>
  </si>
  <si>
    <t xml:space="preserve">Chosen value. Must be consistent with the synthetic PCA roof area (500 kW needs roughly 50,000 sq ft of usable roof).</t>
  </si>
  <si>
    <t xml:space="preserve">Electricity value (year 1)</t>
  </si>
  <si>
    <t xml:space="preserve">$/kWh</t>
  </si>
  <si>
    <t xml:space="preserve">EIA Electric Power Monthly Table 5.6.A (Aug 2026, preliminary): Massachusetts commercial average price = 24.11 cents/kWh</t>
  </si>
  <si>
    <t xml:space="preserve">https://www.eia.gov/electricity/monthly/xls/table_5_06_a.xlsx</t>
  </si>
  <si>
    <t xml:space="preserve">Single-month, all-commercial-customer average price. It includes demand and fixed charges, so treat it as a CEILING on what a solar kWh is worth. Aug 2025 (final) was 23.15 cents. U.S. commercial Aug 2026 was 14.47 cents. Test sensitivity on this input.</t>
  </si>
  <si>
    <t xml:space="preserve">Solar installed cost</t>
  </si>
  <si>
    <t xml:space="preserve">$/W DC</t>
  </si>
  <si>
    <t xml:space="preserve">NREL/NLR TP-7A40-92536 (Jan 2025), Table A-1: commercial PV, 200 kWdc rooftop, Q1 2022 modeled market price, 2024 USD</t>
  </si>
  <si>
    <t xml:space="preserve">https://docs.nlr.gov/docs/fy25osti/92536.pdf</t>
  </si>
  <si>
    <t xml:space="preserve">Most recent rooftop-based benchmark in the report. The 2023-24 benchmarks switched to a 3 MWdc ground-mount ($1.55 in 2024), which is not comparable to a rooftop. Benchmarks are not local prices; get installer quotes. Roof upgrades and financing are not in the benchmark.</t>
  </si>
  <si>
    <t xml:space="preserve">O&amp;M cost</t>
  </si>
  <si>
    <t xml:space="preserve">$/kW-year</t>
  </si>
  <si>
    <t xml:space="preserve">NREL/NLR TP-7A40-92536, Table A-7: commercial PV O&amp;M, 2022 (200 kWdc rooftop), $/kWdc-yr</t>
  </si>
  <si>
    <t xml:space="preserve">2024 value (3 MWdc ground-mount) is $20/kWdc-yr.</t>
  </si>
  <si>
    <t xml:space="preserve">Degradation rate</t>
  </si>
  <si>
    <t xml:space="preserve">fraction per year</t>
  </si>
  <si>
    <t xml:space="preserve">NREL/NLR TP-7A40-92536, Table A-7: commercial PV annual degradation, 0.70% per year</t>
  </si>
  <si>
    <t xml:space="preserve">Benchmark modeling assumption, not a measurement of a specific installation.</t>
  </si>
  <si>
    <t xml:space="preserve">Discount rate (REAL)</t>
  </si>
  <si>
    <t xml:space="preserve">NREL/NLR TP-7A40-92536, Table A-7: commercial PV equity discount rate (real), 6.8% for 2023-2024 (6.1% for 2022)</t>
  </si>
  <si>
    <t xml:space="preserve">This is a REAL rate, so keep prices and costs in constant dollars and use a real escalation rate. An owner's own hurdle rate may differ. Low/high are an assumed sensitivity range.</t>
  </si>
  <si>
    <t xml:space="preserve">Electricity price escalation (REAL)</t>
  </si>
  <si>
    <t xml:space="preserve">Modeling choice: 0% real growth (constant real prices)</t>
  </si>
  <si>
    <t xml:space="preserve">Set to 0% because the discount rate is real. Use a positive value only as a real growth rate (above inflation), or switch the whole model to nominal terms. Disclose as assumed.</t>
  </si>
  <si>
    <t xml:space="preserve">Analysis horizon</t>
  </si>
  <si>
    <t xml:space="preserve">years</t>
  </si>
  <si>
    <t xml:space="preserve">Modeling choice</t>
  </si>
  <si>
    <t xml:space="preserve">No end-of-horizon value is counted, so later installs get fewer producing years.</t>
  </si>
  <si>
    <t xml:space="preserve">Roof replacement cost</t>
  </si>
  <si>
    <t xml:space="preserve">$</t>
  </si>
  <si>
    <t xml:space="preserve">To be replaced by the confirmed value from the synthetic PCA report</t>
  </si>
  <si>
    <t xml:space="preserve">Placeholder. Base the PCA figure on a roofing cost estimate (e.g. RSMeans or an installer rule of thumb) and label it assumed. Same cost in every schedule.</t>
  </si>
  <si>
    <t xml:space="preserve">Roof replacement year</t>
  </si>
  <si>
    <t xml:space="preserve">year (1-25)</t>
  </si>
  <si>
    <t xml:space="preserve">To be replaced by the confirmed remaining-life range from the synthetic PCA report</t>
  </si>
  <si>
    <t xml:space="preserve">Placeholder is the midpoint of a 2-4 year remaining-life range.</t>
  </si>
  <si>
    <t xml:space="preserve">Panel removal/reinstall cost</t>
  </si>
  <si>
    <t xml:space="preserve">Placeholder until an installer quote exists</t>
  </si>
  <si>
    <t xml:space="preserve">Exposed as a slider in the app.</t>
  </si>
  <si>
    <t xml:space="preserve">Downtime during roof work</t>
  </si>
  <si>
    <t xml:space="preserve">months (0-12)</t>
  </si>
  <si>
    <t xml:space="preserve">Placeholder until a roofer/installer estimate exists</t>
  </si>
  <si>
    <t xml:space="preserve">Only affects the 'solar now, remove later' schedule.</t>
  </si>
  <si>
    <t xml:space="preserve">Owner share of electricity value</t>
  </si>
  <si>
    <t xml:space="preserve">fraction (0-1)</t>
  </si>
  <si>
    <t xml:space="preserve">Screen C switch (illustrative billing assumption)</t>
  </si>
  <si>
    <t xml:space="preserve">1 = owner-controlled meter. Lower values send value to tenants. Not a legal eligibility determination.</t>
  </si>
  <si>
    <t xml:space="preserve">Sourced inputs</t>
  </si>
  <si>
    <t xml:space="preserve">Assumed inputs (label as assumed in the app)</t>
  </si>
  <si>
    <t xml:space="preserve">Max horizon this sheet supports is 30 years. discountRate is REAL, so escalation is a real growth rate. All property/roof/billing data is synthetic.</t>
  </si>
  <si>
    <t xml:space="preserve">PVWatts V8 output (fixtures/pvwatts_demo_property_a.json)</t>
  </si>
  <si>
    <t xml:space="preserve">Real data from the PVWatts API. Monthly AC production feeds the annual total, which feeds Inputs.</t>
  </si>
  <si>
    <t xml:space="preserve">Month</t>
  </si>
  <si>
    <t xml:space="preserve">AC production (kWh)</t>
  </si>
  <si>
    <t xml:space="preserve">DC production (kWh)</t>
  </si>
  <si>
    <t xml:space="preserve">Plane-of-array (kWh/m2)</t>
  </si>
  <si>
    <t xml:space="preserve">Solar radiation (kWh/m2/day)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</si>
  <si>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</si>
  <si>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</si>
  <si>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</si>
  <si>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</si>
  <si>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</si>
  <si>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</si>
  <si>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</si>
  <si>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</si>
  <si>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</si>
  <si>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</si>
  <si>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</si>
  <si>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</si>
  <si>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Annual total (sum of months)</t>
  </si>
  <si>
    <t xml:space="preserve">ac_annual reported by PVWatts</t>
  </si>
  <si>
    <t xml:space="preserve">Check: months add up to annual</t>
  </si>
  <si>
    <t xml:space="preserve">Capacity factor (%)</t>
  </si>
  <si>
    <t xml:space="preserve">Request inputs and station</t>
  </si>
  <si>
    <t xml:space="preserve">system_capacity (kW)</t>
  </si>
  <si>
    <t xml:space="preserve">500</t>
  </si>
  <si>
    <t xml:space="preserve">module_type</t>
  </si>
  <si>
    <t xml:space="preserve">0</t>
  </si>
  <si>
    <t xml:space="preserve">losses (%)</t>
  </si>
  <si>
    <t xml:space="preserve">14</t>
  </si>
  <si>
    <t xml:space="preserve">array_type (1 = fixed roof)</t>
  </si>
  <si>
    <t xml:space="preserve">1</t>
  </si>
  <si>
    <t xml:space="preserve">tilt (deg)</t>
  </si>
  <si>
    <t xml:space="preserve">10</t>
  </si>
  <si>
    <t xml:space="preserve">azimuth (deg)</t>
  </si>
  <si>
    <t xml:space="preserve">180</t>
  </si>
  <si>
    <t xml:space="preserve">lat</t>
  </si>
  <si>
    <t xml:space="preserve">42.36</t>
  </si>
  <si>
    <t xml:space="preserve">lon</t>
  </si>
  <si>
    <t xml:space="preserve">-71.06</t>
  </si>
  <si>
    <t xml:space="preserve">dataset</t>
  </si>
  <si>
    <t xml:space="preserve">nsrdb</t>
  </si>
  <si>
    <t xml:space="preserve">Weather source</t>
  </si>
  <si>
    <t xml:space="preserve">NSRDB PSM V3 GOES tmy-2020 3.2.0</t>
  </si>
  <si>
    <t xml:space="preserve">Distance to weather grid cell (m)</t>
  </si>
  <si>
    <t xml:space="preserve">PVWatts version</t>
  </si>
  <si>
    <t xml:space="preserve">8.5.0</t>
  </si>
  <si>
    <t xml:space="preserve">Yearly cash flows by schedule (time 0 = today)</t>
  </si>
  <si>
    <t xml:space="preserve">Costs are positive numbers. Owner net cash flow = owner share of electricity value minus capex, O&amp;M, removal/reinstall and roof cost. Row 36 = present value.</t>
  </si>
  <si>
    <t xml:space="preserve">Roof-only baseline</t>
  </si>
  <si>
    <t xml:space="preserve">A: Solar now, remove &amp; reinstall at roof replacement</t>
  </si>
  <si>
    <t xml:space="preserve">Year t</t>
  </si>
  <si>
    <t xml:space="preserve">Discount factor</t>
  </si>
  <si>
    <t xml:space="preserve">In horizon (1/0)</t>
  </si>
  <si>
    <t xml:space="preserve">Roof cost</t>
  </si>
  <si>
    <t xml:space="preserve">Net cash flow</t>
  </si>
  <si>
    <t xml:space="preserve">Solar capex</t>
  </si>
  <si>
    <t xml:space="preserve">O&amp;M</t>
  </si>
  <si>
    <t xml:space="preserve">Removal/ reinstall</t>
  </si>
  <si>
    <t xml:space="preserve">Electricity value (total)</t>
  </si>
  <si>
    <t xml:space="preserve">Owner net cash flow</t>
  </si>
  <si>
    <t xml:space="preserve">Present value</t>
  </si>
  <si>
    <t xml:space="preserve">Primary reference figures behind the sourced inputs</t>
  </si>
  <si>
    <t xml:space="preserve">From the EIA table you uploaded and the NREL/NLR report. 'Value used in model' links to Inputs.</t>
  </si>
  <si>
    <t xml:space="preserve">Figure</t>
  </si>
  <si>
    <t xml:space="preserve">Value in model units</t>
  </si>
  <si>
    <t xml:space="preserve">Value used in model</t>
  </si>
  <si>
    <t xml:space="preserve">Difference (model - reference)</t>
  </si>
  <si>
    <t xml:space="preserve">Related input</t>
  </si>
  <si>
    <t xml:space="preserve">Caveat</t>
  </si>
  <si>
    <t xml:space="preserve">MA commercial avg price, Aug 2026 (prelim.)</t>
  </si>
  <si>
    <t xml:space="preserve">cents/kWh</t>
  </si>
  <si>
    <t xml:space="preserve">electricityValuePerKwh</t>
  </si>
  <si>
    <t xml:space="preserve">EIA Electric Power Monthly Table 5.6.A</t>
  </si>
  <si>
    <t xml:space="preserve">Single month; preliminary estimate.</t>
  </si>
  <si>
    <t xml:space="preserve">MA commercial avg price, Aug 2025 (final)</t>
  </si>
  <si>
    <t xml:space="preserve">Single month; final value.</t>
  </si>
  <si>
    <t xml:space="preserve">U.S. commercial avg price, Aug 2026 (prelim.)</t>
  </si>
  <si>
    <t xml:space="preserve">National figure; shows how high Massachusetts is.</t>
  </si>
  <si>
    <t xml:space="preserve">Commercial PV rooftop (200 kWdc), Q1 2021</t>
  </si>
  <si>
    <t xml:space="preserve">$/Wdc</t>
  </si>
  <si>
    <t xml:space="preserve">solarCapexPerWatt</t>
  </si>
  <si>
    <t xml:space="preserve">NREL/NLR TP-7A40-92536, Table A-1</t>
  </si>
  <si>
    <t xml:space="preserve">2024 USD.</t>
  </si>
  <si>
    <t xml:space="preserve">Commercial PV rooftop (200 kWdc), Q1 2022 MMP</t>
  </si>
  <si>
    <t xml:space="preserve">2024 USD. Used in the model.</t>
  </si>
  <si>
    <t xml:space="preserve">Commercial PV ground-mount (3 MWdc), Q1 2024 MMP</t>
  </si>
  <si>
    <t xml:space="preserve">NOT comparable to a rooftop: different mounting and system size.</t>
  </si>
  <si>
    <t xml:space="preserve">Commercial PV O&amp;M, 2022 (200 kWdc rooftop)</t>
  </si>
  <si>
    <t xml:space="preserve">$/kWdc-yr</t>
  </si>
  <si>
    <t xml:space="preserve">omPerKwYear</t>
  </si>
  <si>
    <t xml:space="preserve">NREL/NLR TP-7A40-92536, Table A-7</t>
  </si>
  <si>
    <t xml:space="preserve">Used in the model.</t>
  </si>
  <si>
    <t xml:space="preserve">Commercial PV O&amp;M, 2024 (3 MWdc ground-mount)</t>
  </si>
  <si>
    <t xml:space="preserve">Different system type.</t>
  </si>
  <si>
    <t xml:space="preserve">Commercial PV annual degradation</t>
  </si>
  <si>
    <t xml:space="preserve">percent</t>
  </si>
  <si>
    <t xml:space="preserve">degradationRate</t>
  </si>
  <si>
    <t xml:space="preserve">Same 0.70% in every recent year.</t>
  </si>
  <si>
    <t xml:space="preserve">Commercial PV equity discount rate (real), 2022</t>
  </si>
  <si>
    <t xml:space="preserve">discountRate</t>
  </si>
  <si>
    <t xml:space="preserve">Real rate.</t>
  </si>
  <si>
    <t xml:space="preserve">Commercial PV equity discount rate (real), 2023-24</t>
  </si>
  <si>
    <t xml:space="preserve">Real rate. Used in the model.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</si>
</sst>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;&quot;($&quot;#,##0\);\-"/>
    <numFmt numFmtId="166" formatCode="0%"/>
    <numFmt numFmtId="167" formatCode="#,##0"/>
    <numFmt numFmtId="168" formatCode="\$0.0000"/>
    <numFmt numFmtId="169" formatCode="\$0.00"/>
    <numFmt numFmtId="170" formatCode="\$#,##0.00"/>
    <numFmt numFmtId="171" formatCode="0.0%"/>
    <numFmt numFmtId="172" formatCode="0"/>
    <numFmt numFmtId="173" formatCode="General"/>
    <numFmt numFmtId="174" formatCode="0.00"/>
    <numFmt numFmtId="175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2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eveloper.nlr.gov/docs/solar/pvwatts/v8/" TargetMode="External"/><Relationship Id="rId2" Type="http://schemas.openxmlformats.org/officeDocument/2006/relationships/hyperlink" Target="https://developer.nlr.gov/docs/solar/pvwatts/v8/" TargetMode="External"/><Relationship Id="rId3" Type="http://schemas.openxmlformats.org/officeDocument/2006/relationships/hyperlink" Target="https://www.eia.gov/electricity/monthly/xls/table_5_06_a.xlsx" TargetMode="External"/><Relationship Id="rId4" Type="http://schemas.openxmlformats.org/officeDocument/2006/relationships/hyperlink" Target="https://docs.nlr.gov/docs/fy25osti/92536.pdf" TargetMode="External"/><Relationship Id="rId5" Type="http://schemas.openxmlformats.org/officeDocument/2006/relationships/hyperlink" Target="https://docs.nlr.gov/docs/fy25osti/92536.pdf" TargetMode="External"/><Relationship Id="rId6" Type="http://schemas.openxmlformats.org/officeDocument/2006/relationships/hyperlink" Target="https://docs.nlr.gov/docs/fy25osti/92536.pdf" TargetMode="External"/><Relationship Id="rId7" Type="http://schemas.openxmlformats.org/officeDocument/2006/relationships/hyperlink" Target="https://docs.nlr.gov/docs/fy25osti/92536.pdf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eia.gov/electricity/monthly/xls/table_5_06_a.xlsx" TargetMode="External"/><Relationship Id="rId2" Type="http://schemas.openxmlformats.org/officeDocument/2006/relationships/hyperlink" Target="https://www.eia.gov/electricity/monthly/xls/table_5_06_a.xlsx" TargetMode="External"/><Relationship Id="rId3" Type="http://schemas.openxmlformats.org/officeDocument/2006/relationships/hyperlink" Target="https://www.eia.gov/electricity/monthly/xls/table_5_06_a.xlsx" TargetMode="External"/><Relationship Id="rId4" Type="http://schemas.openxmlformats.org/officeDocument/2006/relationships/hyperlink" Target="https://docs.nlr.gov/docs/fy25osti/92536.pdf" TargetMode="External"/><Relationship Id="rId5" Type="http://schemas.openxmlformats.org/officeDocument/2006/relationships/hyperlink" Target="https://docs.nlr.gov/docs/fy25osti/92536.pdf" TargetMode="External"/><Relationship Id="rId6" Type="http://schemas.openxmlformats.org/officeDocument/2006/relationships/hyperlink" Target="https://docs.nlr.gov/docs/fy25osti/92536.pdf" TargetMode="External"/><Relationship Id="rId7" Type="http://schemas.openxmlformats.org/officeDocument/2006/relationships/hyperlink" Target="https://docs.nlr.gov/docs/fy25osti/92536.pdf" TargetMode="External"/><Relationship Id="rId8" Type="http://schemas.openxmlformats.org/officeDocument/2006/relationships/hyperlink" Target="https://docs.nlr.gov/docs/fy25osti/92536.pdf" TargetMode="External"/><Relationship Id="rId9" Type="http://schemas.openxmlformats.org/officeDocument/2006/relationships/hyperlink" Target="https://docs.nlr.gov/docs/fy25osti/92536.pdf" TargetMode="External"/><Relationship Id="rId10" Type="http://schemas.openxmlformats.org/officeDocument/2006/relationships/hyperlink" Target="https://docs.nlr.gov/docs/fy25osti/92536.pdf" TargetMode="External"/><Relationship Id="rId11" Type="http://schemas.openxmlformats.org/officeDocument/2006/relationships/hyperlink" Target="https://docs.nlr.gov/docs/fy25osti/92536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3" customFormat="false" ht="48" hidden="false" customHeight="true" outlineLevel="0" collapsed="false">
      <c r="A3" s="2" t="s">
        <v>1</v>
      </c>
      <c r="B3" s="3" t="s">
        <v>2</v>
      </c>
    </row>
    <row r="4" customFormat="false" ht="48" hidden="false" customHeight="true" outlineLevel="0" collapsed="false">
      <c r="A4" s="2" t="s">
        <v>3</v>
      </c>
      <c r="B4" s="3" t="s">
        <v>4</v>
      </c>
    </row>
    <row r="5" customFormat="false" ht="48" hidden="false" customHeight="true" outlineLevel="0" collapsed="false">
      <c r="A5" s="2" t="s">
        <v>5</v>
      </c>
      <c r="B5" s="3" t="s">
        <v>6</v>
      </c>
    </row>
    <row r="6" customFormat="false" ht="48" hidden="false" customHeight="true" outlineLevel="0" collapsed="false">
      <c r="A6" s="2" t="s">
        <v>7</v>
      </c>
      <c r="B6" s="3" t="s">
        <v>8</v>
      </c>
    </row>
    <row r="7" customFormat="false" ht="48" hidden="false" customHeight="true" outlineLevel="0" collapsed="false">
      <c r="A7" s="2" t="s">
        <v>9</v>
      </c>
      <c r="B7" s="3" t="s">
        <v>10</v>
      </c>
    </row>
    <row r="8" customFormat="false" ht="48" hidden="false" customHeight="true" outlineLevel="0" collapsed="false">
      <c r="A8" s="2" t="s">
        <v>11</v>
      </c>
      <c r="B8" s="3" t="s">
        <v>12</v>
      </c>
    </row>
    <row r="9" customFormat="false" ht="48" hidden="false" customHeight="true" outlineLevel="0" collapsed="false">
      <c r="A9" s="2" t="s">
        <v>13</v>
      </c>
      <c r="B9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9" min="7" style="0" width="18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4" t="s">
        <v>16</v>
      </c>
    </row>
    <row r="5" customFormat="false" ht="43.5" hidden="false" customHeight="true" outlineLevel="0" collapsed="false">
      <c r="A5" s="5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</row>
    <row r="6" customFormat="false" ht="15" hidden="false" customHeight="false" outlineLevel="0" collapsed="false">
      <c r="A6" s="6" t="s">
        <v>26</v>
      </c>
      <c r="B6" s="7" t="n">
        <f aca="false">CashFlows!K36-CashFlows!E36</f>
        <v>383980.214425538</v>
      </c>
      <c r="C6" s="8" t="n">
        <f aca="false">CashFlows!F36</f>
        <v>1065000</v>
      </c>
      <c r="D6" s="8" t="n">
        <f aca="false">CashFlows!G36</f>
        <v>124599.218530134</v>
      </c>
      <c r="E6" s="8" t="n">
        <f aca="false">CashFlows!H36</f>
        <v>61566.9309966506</v>
      </c>
      <c r="F6" s="8" t="n">
        <f aca="false">CashFlows!I36-CashFlows!D36</f>
        <v>0</v>
      </c>
      <c r="G6" s="8" t="n">
        <f aca="false">Inputs!$B$18*CashFlows!J36</f>
        <v>1635146.36395232</v>
      </c>
      <c r="H6" s="8" t="n">
        <f aca="false">(1-Inputs!$B$18)*CashFlows!J36</f>
        <v>0</v>
      </c>
      <c r="I6" s="8" t="n">
        <f aca="false">CashFlows!J36</f>
        <v>1635146.36395232</v>
      </c>
    </row>
    <row r="7" customFormat="false" ht="15" hidden="false" customHeight="false" outlineLevel="0" collapsed="false">
      <c r="A7" s="6" t="s">
        <v>27</v>
      </c>
      <c r="B7" s="7" t="n">
        <f aca="false">CashFlows!Q36-CashFlows!E36</f>
        <v>375976.789919705</v>
      </c>
      <c r="C7" s="8" t="n">
        <f aca="false">CashFlows!L36</f>
        <v>1065000</v>
      </c>
      <c r="D7" s="8" t="n">
        <f aca="false">CashFlows!M36</f>
        <v>124599.218530134</v>
      </c>
      <c r="E7" s="8" t="n">
        <f aca="false">CashFlows!N36</f>
        <v>0</v>
      </c>
      <c r="F7" s="8" t="n">
        <f aca="false">CashFlows!O36-CashFlows!D36</f>
        <v>89553.7933556627</v>
      </c>
      <c r="G7" s="8" t="n">
        <f aca="false">Inputs!$B$18*CashFlows!P36</f>
        <v>1655129.8018055</v>
      </c>
      <c r="H7" s="8" t="n">
        <f aca="false">(1-Inputs!$B$18)*CashFlows!P36</f>
        <v>0</v>
      </c>
      <c r="I7" s="8" t="n">
        <f aca="false">CashFlows!P36</f>
        <v>1655129.8018055</v>
      </c>
    </row>
    <row r="8" customFormat="false" ht="15" hidden="false" customHeight="false" outlineLevel="0" collapsed="false">
      <c r="A8" s="6" t="s">
        <v>28</v>
      </c>
      <c r="B8" s="7" t="n">
        <f aca="false">CashFlows!W36-CashFlows!E36</f>
        <v>323378.96102891</v>
      </c>
      <c r="C8" s="8" t="n">
        <f aca="false">CashFlows!R36</f>
        <v>874250.420152439</v>
      </c>
      <c r="D8" s="8" t="n">
        <f aca="false">CashFlows!S36</f>
        <v>96942.8999938261</v>
      </c>
      <c r="E8" s="8" t="n">
        <f aca="false">CashFlows!T36</f>
        <v>0</v>
      </c>
      <c r="F8" s="8" t="n">
        <f aca="false">CashFlows!U36-CashFlows!D36</f>
        <v>0</v>
      </c>
      <c r="G8" s="8" t="n">
        <f aca="false">Inputs!$B$18*CashFlows!V36</f>
        <v>1294572.28117518</v>
      </c>
      <c r="H8" s="8" t="n">
        <f aca="false">(1-Inputs!$B$18)*CashFlows!V36</f>
        <v>0</v>
      </c>
      <c r="I8" s="8" t="n">
        <f aca="false">CashFlows!V36</f>
        <v>1294572.28117518</v>
      </c>
    </row>
    <row r="9" customFormat="false" ht="15" hidden="false" customHeight="false" outlineLevel="0" collapsed="false">
      <c r="A9" s="2" t="s">
        <v>29</v>
      </c>
      <c r="B9" s="9" t="n">
        <f aca="false">CashFlows!E36</f>
        <v>-410446.206644337</v>
      </c>
    </row>
    <row r="10" customFormat="false" ht="15" hidden="false" customHeight="false" outlineLevel="0" collapsed="false">
      <c r="A10" s="4" t="s">
        <v>30</v>
      </c>
      <c r="B10" s="10" t="n">
        <f aca="false">Inputs!$B$18</f>
        <v>1</v>
      </c>
    </row>
    <row r="11" customFormat="false" ht="15" hidden="false" customHeight="false" outlineLevel="0" collapsed="false">
      <c r="A11" s="2" t="s">
        <v>31</v>
      </c>
      <c r="B11" s="2" t="str">
        <f aca="false">INDEX(A6:A8,MATCH(MAX(B6:B8),B6:B8,0))</f>
        <v>A: Solar now, remove &amp; reinstall later</v>
      </c>
    </row>
    <row r="13" customFormat="false" ht="15" hidden="false" customHeight="false" outlineLevel="0" collapsed="false">
      <c r="A13" s="2" t="s">
        <v>32</v>
      </c>
    </row>
    <row r="14" customFormat="false" ht="15" hidden="false" customHeight="false" outlineLevel="0" collapsed="false">
      <c r="A14" s="4" t="s">
        <v>33</v>
      </c>
      <c r="B14" s="11" t="n">
        <f aca="false">IF(Inputs!$B$16+B6/INDEX(CashFlows!$B$5:$B$35,Inputs!$B$15+1)&gt;=0,Inputs!$B$16+B6/INDEX(CashFlows!$B$5:$B$35,Inputs!$B$15+1),"n/a")</f>
        <v>542759.487369641</v>
      </c>
    </row>
    <row r="15" customFormat="false" ht="15" hidden="false" customHeight="false" outlineLevel="0" collapsed="false">
      <c r="A15" s="4" t="s">
        <v>34</v>
      </c>
      <c r="B15" s="11" t="n">
        <f aca="false">IF(Inputs!$B$16+(B6-MAX(B7,B8))/INDEX(CashFlows!$B$5:$B$35,Inputs!$B$15+1)&gt;=0,Inputs!$B$16+(B6-MAX(B7,B8))/INDEX(CashFlows!$B$5:$B$35,Inputs!$B$15+1),"never wins")</f>
        <v>84749.663142542</v>
      </c>
    </row>
    <row r="17" customFormat="false" ht="15" hidden="false" customHeight="false" outlineLevel="0" collapsed="false">
      <c r="A17" s="2" t="s">
        <v>35</v>
      </c>
    </row>
    <row r="18" customFormat="false" ht="19.5" hidden="false" customHeight="true" outlineLevel="0" collapsed="false">
      <c r="A18" s="5" t="s">
        <v>36</v>
      </c>
      <c r="B18" s="12" t="n">
        <v>1</v>
      </c>
      <c r="C18" s="12" t="n">
        <v>0.7</v>
      </c>
      <c r="D18" s="12" t="n">
        <v>0.4</v>
      </c>
      <c r="E18" s="12" t="n">
        <v>0</v>
      </c>
    </row>
    <row r="19" customFormat="false" ht="15" hidden="false" customHeight="false" outlineLevel="0" collapsed="false">
      <c r="A19" s="4" t="s">
        <v>26</v>
      </c>
      <c r="B19" s="13" t="n">
        <f aca="false">B$18*$I6-$C6-$D6-$E6-$F6</f>
        <v>383980.214425538</v>
      </c>
      <c r="C19" s="13" t="n">
        <f aca="false">C$18*$I6-$C6-$D6-$E6-$F6</f>
        <v>-106563.694760159</v>
      </c>
      <c r="D19" s="13" t="n">
        <f aca="false">D$18*$I6-$C6-$D6-$E6-$F6</f>
        <v>-597107.603945856</v>
      </c>
      <c r="E19" s="13" t="n">
        <f aca="false">E$18*$I6-$C6-$D6-$E6-$F6</f>
        <v>-1251166.14952678</v>
      </c>
    </row>
    <row r="20" customFormat="false" ht="15" hidden="false" customHeight="false" outlineLevel="0" collapsed="false">
      <c r="A20" s="4" t="s">
        <v>27</v>
      </c>
      <c r="B20" s="13" t="n">
        <f aca="false">B$18*$I7-$C7-$D7-$E7-$F7</f>
        <v>375976.789919705</v>
      </c>
      <c r="C20" s="13" t="n">
        <f aca="false">C$18*$I7-$C7-$D7-$E7-$F7</f>
        <v>-120562.150621946</v>
      </c>
      <c r="D20" s="13" t="n">
        <f aca="false">D$18*$I7-$C7-$D7-$E7-$F7</f>
        <v>-617101.091163596</v>
      </c>
      <c r="E20" s="13" t="n">
        <f aca="false">E$18*$I7-$C7-$D7-$E7-$F7</f>
        <v>-1279153.0118858</v>
      </c>
    </row>
    <row r="21" customFormat="false" ht="15" hidden="false" customHeight="false" outlineLevel="0" collapsed="false">
      <c r="A21" s="4" t="s">
        <v>28</v>
      </c>
      <c r="B21" s="13" t="n">
        <f aca="false">B$18*$I8-$C8-$D8-$E8-$F8</f>
        <v>323378.96102891</v>
      </c>
      <c r="C21" s="13" t="n">
        <f aca="false">C$18*$I8-$C8-$D8-$E8-$F8</f>
        <v>-64992.7233236421</v>
      </c>
      <c r="D21" s="13" t="n">
        <f aca="false">D$18*$I8-$C8-$D8-$E8-$F8</f>
        <v>-453364.407676195</v>
      </c>
      <c r="E21" s="13" t="n">
        <f aca="false">E$18*$I8-$C8-$D8-$E8-$F8</f>
        <v>-971193.320146265</v>
      </c>
    </row>
    <row r="23" customFormat="false" ht="15" hidden="false" customHeight="false" outlineLevel="0" collapsed="false">
      <c r="A23" s="2" t="s">
        <v>37</v>
      </c>
    </row>
    <row r="24" customFormat="false" ht="15" hidden="false" customHeight="false" outlineLevel="0" collapsed="false">
      <c r="A24" s="4" t="s">
        <v>26</v>
      </c>
      <c r="B24" s="13" t="n">
        <f aca="false">(1-B$18)*$I6</f>
        <v>0</v>
      </c>
      <c r="C24" s="13" t="n">
        <f aca="false">(1-C$18)*$I6</f>
        <v>490543.909185697</v>
      </c>
      <c r="D24" s="13" t="n">
        <f aca="false">(1-D$18)*$I6</f>
        <v>981087.818371393</v>
      </c>
      <c r="E24" s="13" t="n">
        <f aca="false">(1-E$18)*$I6</f>
        <v>1635146.36395232</v>
      </c>
    </row>
    <row r="25" customFormat="false" ht="15" hidden="false" customHeight="false" outlineLevel="0" collapsed="false">
      <c r="A25" s="4" t="s">
        <v>27</v>
      </c>
      <c r="B25" s="13" t="n">
        <f aca="false">(1-B$18)*$I7</f>
        <v>0</v>
      </c>
      <c r="C25" s="13" t="n">
        <f aca="false">(1-C$18)*$I7</f>
        <v>496538.94054165</v>
      </c>
      <c r="D25" s="13" t="n">
        <f aca="false">(1-D$18)*$I7</f>
        <v>993077.881083301</v>
      </c>
      <c r="E25" s="13" t="n">
        <f aca="false">(1-E$18)*$I7</f>
        <v>1655129.8018055</v>
      </c>
    </row>
    <row r="26" customFormat="false" ht="15" hidden="false" customHeight="false" outlineLevel="0" collapsed="false">
      <c r="A26" s="4" t="s">
        <v>28</v>
      </c>
      <c r="B26" s="13" t="n">
        <f aca="false">(1-B$18)*$I8</f>
        <v>0</v>
      </c>
      <c r="C26" s="13" t="n">
        <f aca="false">(1-C$18)*$I8</f>
        <v>388371.684352553</v>
      </c>
      <c r="D26" s="13" t="n">
        <f aca="false">(1-D$18)*$I8</f>
        <v>776743.368705105</v>
      </c>
      <c r="E26" s="13" t="n">
        <f aca="false">(1-E$18)*$I8</f>
        <v>1294572.28117518</v>
      </c>
    </row>
    <row r="28" customFormat="false" ht="15" hidden="false" customHeight="false" outlineLevel="0" collapsed="false">
      <c r="A28" s="2" t="s">
        <v>38</v>
      </c>
    </row>
    <row r="29" customFormat="false" ht="15" hidden="false" customHeight="false" outlineLevel="0" collapsed="false">
      <c r="A29" s="4" t="s">
        <v>39</v>
      </c>
      <c r="B29" s="2" t="str">
        <f aca="false">IF(AND(ABS(G6+H6-I6)&lt;0.01,ABS(G7+H7-I7)&lt;0.01,ABS(G8+H8-I8)&lt;0.01),"OK","CHECK")</f>
        <v>OK</v>
      </c>
    </row>
    <row r="30" customFormat="false" ht="15" hidden="false" customHeight="false" outlineLevel="0" collapsed="false">
      <c r="A30" s="4" t="s">
        <v>40</v>
      </c>
      <c r="B30" s="2" t="str">
        <f aca="false">IF(AND(ABS(INDEX(B19:E19,1,MATCH(Inputs!$B$18,B18:E18,0))-B6)&lt;0.01,ABS(INDEX(B20:E20,1,MATCH(Inputs!$B$18,B18:E18,0))-B7)&lt;0.01,ABS(INDEX(B21:E21,1,MATCH(Inputs!$B$18,B18:E18,0))-B8)&lt;0.01),"OK","n/a (share not in table)")</f>
        <v>OK</v>
      </c>
    </row>
    <row r="31" customFormat="false" ht="15" hidden="false" customHeight="false" outlineLevel="0" collapsed="false">
      <c r="A31" s="4" t="s">
        <v>41</v>
      </c>
      <c r="B31" s="2" t="str">
        <f aca="false">PVWatts!B19</f>
        <v>OK</v>
      </c>
    </row>
    <row r="32" customFormat="false" ht="15" hidden="false" customHeight="false" outlineLevel="0" collapsed="false">
      <c r="A32" s="4" t="s">
        <v>42</v>
      </c>
      <c r="B32" s="2" t="str">
        <f aca="false">IF(AND(Inputs!$B$15&gt;=1,Inputs!$B$15&lt;=Inputs!$B$13,Inputs!$B$13&lt;=30),"OK","CHECK")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11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43</v>
      </c>
    </row>
    <row r="2" customFormat="false" ht="15" hidden="false" customHeight="false" outlineLevel="0" collapsed="false">
      <c r="A2" s="4" t="s">
        <v>44</v>
      </c>
    </row>
    <row r="4" customFormat="false" ht="30" hidden="false" customHeight="true" outlineLevel="0" collapsed="false">
      <c r="A4" s="5" t="s">
        <v>45</v>
      </c>
      <c r="B4" s="5" t="s">
        <v>46</v>
      </c>
      <c r="C4" s="5" t="s">
        <v>47</v>
      </c>
      <c r="D4" s="5" t="s">
        <v>48</v>
      </c>
      <c r="E4" s="5" t="s">
        <v>49</v>
      </c>
      <c r="F4" s="5" t="s">
        <v>50</v>
      </c>
      <c r="G4" s="5" t="s">
        <v>51</v>
      </c>
    </row>
    <row r="5" customFormat="false" ht="23.85" hidden="false" customHeight="false" outlineLevel="0" collapsed="false">
      <c r="A5" s="14" t="s">
        <v>52</v>
      </c>
      <c r="B5" s="15" t="n">
        <f aca="false">PVWatts!B17</f>
        <v>614383.445718951</v>
      </c>
      <c r="C5" s="14" t="s">
        <v>53</v>
      </c>
      <c r="D5" s="14" t="s">
        <v>54</v>
      </c>
      <c r="E5" s="14" t="s">
        <v>55</v>
      </c>
      <c r="F5" s="16" t="s">
        <v>56</v>
      </c>
      <c r="G5" s="14" t="s">
        <v>57</v>
      </c>
    </row>
    <row r="6" customFormat="false" ht="23.85" hidden="false" customHeight="false" outlineLevel="0" collapsed="false">
      <c r="A6" s="14" t="s">
        <v>58</v>
      </c>
      <c r="B6" s="17" t="n">
        <v>500</v>
      </c>
      <c r="C6" s="14" t="s">
        <v>59</v>
      </c>
      <c r="D6" s="14" t="s">
        <v>60</v>
      </c>
      <c r="E6" s="14" t="s">
        <v>61</v>
      </c>
      <c r="F6" s="16" t="s">
        <v>56</v>
      </c>
      <c r="G6" s="14" t="s">
        <v>62</v>
      </c>
    </row>
    <row r="7" customFormat="false" ht="35.05" hidden="false" customHeight="false" outlineLevel="0" collapsed="false">
      <c r="A7" s="14" t="s">
        <v>63</v>
      </c>
      <c r="B7" s="18" t="n">
        <v>0.2411</v>
      </c>
      <c r="C7" s="14" t="s">
        <v>64</v>
      </c>
      <c r="D7" s="14" t="s">
        <v>54</v>
      </c>
      <c r="E7" s="14" t="s">
        <v>65</v>
      </c>
      <c r="F7" s="16" t="s">
        <v>66</v>
      </c>
      <c r="G7" s="14" t="s">
        <v>67</v>
      </c>
    </row>
    <row r="8" customFormat="false" ht="46.25" hidden="false" customHeight="false" outlineLevel="0" collapsed="false">
      <c r="A8" s="14" t="s">
        <v>68</v>
      </c>
      <c r="B8" s="19" t="n">
        <v>2.13</v>
      </c>
      <c r="C8" s="14" t="s">
        <v>69</v>
      </c>
      <c r="D8" s="14" t="s">
        <v>54</v>
      </c>
      <c r="E8" s="14" t="s">
        <v>70</v>
      </c>
      <c r="F8" s="16" t="s">
        <v>71</v>
      </c>
      <c r="G8" s="14" t="s">
        <v>72</v>
      </c>
    </row>
    <row r="9" customFormat="false" ht="23.85" hidden="false" customHeight="false" outlineLevel="0" collapsed="false">
      <c r="A9" s="14" t="s">
        <v>73</v>
      </c>
      <c r="B9" s="20" t="n">
        <v>21</v>
      </c>
      <c r="C9" s="14" t="s">
        <v>74</v>
      </c>
      <c r="D9" s="14" t="s">
        <v>54</v>
      </c>
      <c r="E9" s="14" t="s">
        <v>75</v>
      </c>
      <c r="F9" s="16" t="s">
        <v>71</v>
      </c>
      <c r="G9" s="14" t="s">
        <v>76</v>
      </c>
    </row>
    <row r="10" customFormat="false" ht="23.85" hidden="false" customHeight="false" outlineLevel="0" collapsed="false">
      <c r="A10" s="14" t="s">
        <v>77</v>
      </c>
      <c r="B10" s="21" t="n">
        <v>0.007</v>
      </c>
      <c r="C10" s="14" t="s">
        <v>78</v>
      </c>
      <c r="D10" s="14" t="s">
        <v>54</v>
      </c>
      <c r="E10" s="14" t="s">
        <v>79</v>
      </c>
      <c r="F10" s="16" t="s">
        <v>71</v>
      </c>
      <c r="G10" s="14" t="s">
        <v>80</v>
      </c>
    </row>
    <row r="11" customFormat="false" ht="35.05" hidden="false" customHeight="false" outlineLevel="0" collapsed="false">
      <c r="A11" s="14" t="s">
        <v>81</v>
      </c>
      <c r="B11" s="21" t="n">
        <v>0.068</v>
      </c>
      <c r="C11" s="14" t="s">
        <v>78</v>
      </c>
      <c r="D11" s="14" t="s">
        <v>54</v>
      </c>
      <c r="E11" s="14" t="s">
        <v>82</v>
      </c>
      <c r="F11" s="16" t="s">
        <v>71</v>
      </c>
      <c r="G11" s="14" t="s">
        <v>83</v>
      </c>
    </row>
    <row r="12" customFormat="false" ht="35.05" hidden="false" customHeight="false" outlineLevel="0" collapsed="false">
      <c r="A12" s="14" t="s">
        <v>84</v>
      </c>
      <c r="B12" s="21" t="n">
        <v>0</v>
      </c>
      <c r="C12" s="14" t="s">
        <v>78</v>
      </c>
      <c r="D12" s="14" t="s">
        <v>60</v>
      </c>
      <c r="E12" s="14" t="s">
        <v>85</v>
      </c>
      <c r="F12" s="22"/>
      <c r="G12" s="14" t="s">
        <v>86</v>
      </c>
    </row>
    <row r="13" customFormat="false" ht="15" hidden="false" customHeight="false" outlineLevel="0" collapsed="false">
      <c r="A13" s="14" t="s">
        <v>87</v>
      </c>
      <c r="B13" s="23" t="n">
        <v>25</v>
      </c>
      <c r="C13" s="14" t="s">
        <v>88</v>
      </c>
      <c r="D13" s="14" t="s">
        <v>60</v>
      </c>
      <c r="E13" s="14" t="s">
        <v>89</v>
      </c>
      <c r="F13" s="22"/>
      <c r="G13" s="14" t="s">
        <v>90</v>
      </c>
    </row>
    <row r="14" customFormat="false" ht="23.85" hidden="false" customHeight="false" outlineLevel="0" collapsed="false">
      <c r="A14" s="14" t="s">
        <v>91</v>
      </c>
      <c r="B14" s="24" t="n">
        <v>500000</v>
      </c>
      <c r="C14" s="14" t="s">
        <v>92</v>
      </c>
      <c r="D14" s="14" t="s">
        <v>60</v>
      </c>
      <c r="E14" s="14" t="s">
        <v>93</v>
      </c>
      <c r="F14" s="22"/>
      <c r="G14" s="14" t="s">
        <v>94</v>
      </c>
    </row>
    <row r="15" customFormat="false" ht="23.85" hidden="false" customHeight="false" outlineLevel="0" collapsed="false">
      <c r="A15" s="14" t="s">
        <v>95</v>
      </c>
      <c r="B15" s="25" t="n">
        <v>3</v>
      </c>
      <c r="C15" s="14" t="s">
        <v>96</v>
      </c>
      <c r="D15" s="14" t="s">
        <v>60</v>
      </c>
      <c r="E15" s="14" t="s">
        <v>97</v>
      </c>
      <c r="F15" s="22"/>
      <c r="G15" s="14" t="s">
        <v>98</v>
      </c>
    </row>
    <row r="16" customFormat="false" ht="15" hidden="false" customHeight="false" outlineLevel="0" collapsed="false">
      <c r="A16" s="14" t="s">
        <v>99</v>
      </c>
      <c r="B16" s="24" t="n">
        <v>75000</v>
      </c>
      <c r="C16" s="14" t="s">
        <v>92</v>
      </c>
      <c r="D16" s="14" t="s">
        <v>60</v>
      </c>
      <c r="E16" s="14" t="s">
        <v>100</v>
      </c>
      <c r="F16" s="22"/>
      <c r="G16" s="14" t="s">
        <v>101</v>
      </c>
    </row>
    <row r="17" customFormat="false" ht="15" hidden="false" customHeight="false" outlineLevel="0" collapsed="false">
      <c r="A17" s="14" t="s">
        <v>102</v>
      </c>
      <c r="B17" s="23" t="n">
        <v>2</v>
      </c>
      <c r="C17" s="14" t="s">
        <v>103</v>
      </c>
      <c r="D17" s="14" t="s">
        <v>60</v>
      </c>
      <c r="E17" s="14" t="s">
        <v>104</v>
      </c>
      <c r="F17" s="22"/>
      <c r="G17" s="14" t="s">
        <v>105</v>
      </c>
    </row>
    <row r="18" customFormat="false" ht="23.85" hidden="false" customHeight="false" outlineLevel="0" collapsed="false">
      <c r="A18" s="14" t="s">
        <v>106</v>
      </c>
      <c r="B18" s="26" t="n">
        <v>1</v>
      </c>
      <c r="C18" s="14" t="s">
        <v>107</v>
      </c>
      <c r="D18" s="14" t="s">
        <v>60</v>
      </c>
      <c r="E18" s="14" t="s">
        <v>108</v>
      </c>
      <c r="F18" s="22"/>
      <c r="G18" s="14" t="s">
        <v>109</v>
      </c>
    </row>
    <row r="20" customFormat="false" ht="15" hidden="false" customHeight="false" outlineLevel="0" collapsed="false">
      <c r="A20" s="2" t="s">
        <v>110</v>
      </c>
      <c r="B20" s="27" t="n">
        <f aca="false">COUNTIF(D5:D18,"Sourced")</f>
        <v>6</v>
      </c>
    </row>
    <row r="21" customFormat="false" ht="15" hidden="false" customHeight="false" outlineLevel="0" collapsed="false">
      <c r="A21" s="2" t="s">
        <v>111</v>
      </c>
      <c r="B21" s="27" t="n">
        <f aca="false">COUNTIF(D5:D18,"Assumed")</f>
        <v>8</v>
      </c>
    </row>
    <row r="22" customFormat="false" ht="15" hidden="false" customHeight="false" outlineLevel="0" collapsed="false">
      <c r="A22" s="4" t="s">
        <v>112</v>
      </c>
    </row>
  </sheetData>
  <hyperlinks>
    <hyperlink ref="F5" r:id="rId1" display="https://developer.nlr.gov/docs/solar/pvwatts/v8/"/>
    <hyperlink ref="F6" r:id="rId2" display="https://developer.nlr.gov/docs/solar/pvwatts/v8/"/>
    <hyperlink ref="F7" r:id="rId3" display="https://www.eia.gov/electricity/monthly/xls/table_5_06_a.xlsx"/>
    <hyperlink ref="F8" r:id="rId4" display="https://docs.nlr.gov/docs/fy25osti/92536.pdf"/>
    <hyperlink ref="F9" r:id="rId5" display="https://docs.nlr.gov/docs/fy25osti/92536.pdf"/>
    <hyperlink ref="F10" r:id="rId6" display="https://docs.nlr.gov/docs/fy25osti/92536.pdf"/>
    <hyperlink ref="F11" r:id="rId7" display="https://docs.nlr.gov/docs/fy25osti/92536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2"/>
    <col collapsed="false" customWidth="true" hidden="false" outlineLevel="0" max="4" min="4" style="0" width="24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1" t="s">
        <v>113</v>
      </c>
    </row>
    <row r="2" customFormat="false" ht="15" hidden="false" customHeight="false" outlineLevel="0" collapsed="false">
      <c r="A2" s="4" t="s">
        <v>114</v>
      </c>
    </row>
    <row r="4" customFormat="false" ht="30" hidden="false" customHeight="true" outlineLevel="0" collapsed="false">
      <c r="A4" s="5" t="s">
        <v>115</v>
      </c>
      <c r="B4" s="5" t="s">
        <v>116</v>
      </c>
      <c r="C4" s="5" t="s">
        <v>117</v>
      </c>
      <c r="D4" s="5" t="s">
        <v>118</v>
      </c>
      <c r="E4" s="5" t="s">
        <v>119</v>
      </c>
    </row>
    <row r="5" customFormat="false" ht="15" hidden="false" customHeight="false" outlineLevel="0" collapsed="false">
      <c r="A5" s="4" t="s">
        <v>120</v>
      </c>
      <c r="B5" s="28" t="n">
        <v>33409.966313634</v>
      </c>
      <c r="C5" s="28" t="n">
        <v>35223.4563760591</v>
      </c>
      <c r="D5" s="29" t="n">
        <v>80.7390613237557</v>
      </c>
      <c r="E5" s="29" t="n">
        <v>2.60448584915341</v>
      </c>
    </row>
    <row r="6" customFormat="false" ht="15" hidden="false" customHeight="false" outlineLevel="0" collapsed="false">
      <c r="A6" s="4" t="s">
        <v>121</v>
      </c>
      <c r="B6" s="28" t="n">
        <v>39450.4469723566</v>
      </c>
      <c r="C6" s="28" t="n">
        <v>41471.8867026409</v>
      </c>
      <c r="D6" s="29" t="n">
        <v>95.8387242509592</v>
      </c>
      <c r="E6" s="29" t="n">
        <v>3.4228115803914</v>
      </c>
    </row>
    <row r="7" customFormat="false" ht="15" hidden="false" customHeight="false" outlineLevel="0" collapsed="false">
      <c r="A7" s="4" t="s">
        <v>122</v>
      </c>
      <c r="B7" s="28" t="n">
        <v>57495.1202187982</v>
      </c>
      <c r="C7" s="28" t="n">
        <v>60351.7893542714</v>
      </c>
      <c r="D7" s="29" t="n">
        <v>143.043344983242</v>
      </c>
      <c r="E7" s="29" t="n">
        <v>4.61430145107233</v>
      </c>
    </row>
    <row r="8" customFormat="false" ht="15" hidden="false" customHeight="false" outlineLevel="0" collapsed="false">
      <c r="A8" s="4" t="s">
        <v>123</v>
      </c>
      <c r="B8" s="28" t="n">
        <v>60519.2339871504</v>
      </c>
      <c r="C8" s="28" t="n">
        <v>63526.6019635825</v>
      </c>
      <c r="D8" s="29" t="n">
        <v>157.939505006171</v>
      </c>
      <c r="E8" s="29" t="n">
        <v>5.26465016687238</v>
      </c>
    </row>
    <row r="9" customFormat="false" ht="15" hidden="false" customHeight="false" outlineLevel="0" collapsed="false">
      <c r="A9" s="4" t="s">
        <v>124</v>
      </c>
      <c r="B9" s="28" t="n">
        <v>69783.5648546891</v>
      </c>
      <c r="C9" s="28" t="n">
        <v>73257.3183596011</v>
      </c>
      <c r="D9" s="29" t="n">
        <v>189.547800699634</v>
      </c>
      <c r="E9" s="29" t="n">
        <v>6.11444518385916</v>
      </c>
    </row>
    <row r="10" customFormat="false" ht="15" hidden="false" customHeight="false" outlineLevel="0" collapsed="false">
      <c r="A10" s="4" t="s">
        <v>125</v>
      </c>
      <c r="B10" s="28" t="n">
        <v>65071.6431038371</v>
      </c>
      <c r="C10" s="28" t="n">
        <v>68375.1577476413</v>
      </c>
      <c r="D10" s="29" t="n">
        <v>179.45547015359</v>
      </c>
      <c r="E10" s="29" t="n">
        <v>5.98184900511965</v>
      </c>
    </row>
    <row r="11" customFormat="false" ht="15" hidden="false" customHeight="false" outlineLevel="0" collapsed="false">
      <c r="A11" s="4" t="s">
        <v>126</v>
      </c>
      <c r="B11" s="28" t="n">
        <v>71963.8311462415</v>
      </c>
      <c r="C11" s="28" t="n">
        <v>75516.7744366199</v>
      </c>
      <c r="D11" s="29" t="n">
        <v>201.61783313161</v>
      </c>
      <c r="E11" s="29" t="n">
        <v>6.50380106876162</v>
      </c>
    </row>
    <row r="12" customFormat="false" ht="15" hidden="false" customHeight="false" outlineLevel="0" collapsed="false">
      <c r="A12" s="4" t="s">
        <v>127</v>
      </c>
      <c r="B12" s="28" t="n">
        <v>64392.5880148639</v>
      </c>
      <c r="C12" s="28" t="n">
        <v>67613.428322083</v>
      </c>
      <c r="D12" s="29" t="n">
        <v>180.062231496653</v>
      </c>
      <c r="E12" s="29" t="n">
        <v>5.80845908053719</v>
      </c>
    </row>
    <row r="13" customFormat="false" ht="15" hidden="false" customHeight="false" outlineLevel="0" collapsed="false">
      <c r="A13" s="4" t="s">
        <v>128</v>
      </c>
      <c r="B13" s="28" t="n">
        <v>54916.6764642162</v>
      </c>
      <c r="C13" s="28" t="n">
        <v>57674.4575652595</v>
      </c>
      <c r="D13" s="29" t="n">
        <v>148.98977592413</v>
      </c>
      <c r="E13" s="29" t="n">
        <v>4.96632586413765</v>
      </c>
    </row>
    <row r="14" customFormat="false" ht="15" hidden="false" customHeight="false" outlineLevel="0" collapsed="false">
      <c r="A14" s="4" t="s">
        <v>129</v>
      </c>
      <c r="B14" s="28" t="n">
        <v>42668.2184127123</v>
      </c>
      <c r="C14" s="28" t="n">
        <v>44923.9376053425</v>
      </c>
      <c r="D14" s="29" t="n">
        <v>110.546872680642</v>
      </c>
      <c r="E14" s="29" t="n">
        <v>3.56602815098844</v>
      </c>
    </row>
    <row r="15" customFormat="false" ht="15" hidden="false" customHeight="false" outlineLevel="0" collapsed="false">
      <c r="A15" s="4" t="s">
        <v>130</v>
      </c>
      <c r="B15" s="28" t="n">
        <v>30416.4634720076</v>
      </c>
      <c r="C15" s="28" t="n">
        <v>32092.6792019608</v>
      </c>
      <c r="D15" s="29" t="n">
        <v>75.2088928529597</v>
      </c>
      <c r="E15" s="29" t="n">
        <v>2.50696309509866</v>
      </c>
    </row>
    <row r="16" customFormat="false" ht="15" hidden="false" customHeight="false" outlineLevel="0" collapsed="false">
      <c r="A16" s="4" t="s">
        <v>131</v>
      </c>
      <c r="B16" s="28" t="n">
        <v>24295.6927584437</v>
      </c>
      <c r="C16" s="28" t="n">
        <v>25754.9470797328</v>
      </c>
      <c r="D16" s="29" t="n">
        <v>59.109338161955</v>
      </c>
      <c r="E16" s="29" t="n">
        <v>1.90675284393403</v>
      </c>
    </row>
    <row r="17" customFormat="false" ht="15" hidden="false" customHeight="false" outlineLevel="0" collapsed="false">
      <c r="A17" s="2" t="s">
        <v>132</v>
      </c>
      <c r="B17" s="30" t="n">
        <f aca="false">SUM(B5:B16)</f>
        <v>614383.445718951</v>
      </c>
      <c r="C17" s="30" t="n">
        <f aca="false">SUM(C5:C16)</f>
        <v>645782.434714795</v>
      </c>
    </row>
    <row r="18" customFormat="false" ht="15" hidden="false" customHeight="false" outlineLevel="0" collapsed="false">
      <c r="A18" s="4" t="s">
        <v>133</v>
      </c>
      <c r="B18" s="28" t="n">
        <v>614383.445718951</v>
      </c>
    </row>
    <row r="19" customFormat="false" ht="15" hidden="false" customHeight="false" outlineLevel="0" collapsed="false">
      <c r="A19" s="4" t="s">
        <v>134</v>
      </c>
      <c r="B19" s="2" t="str">
        <f aca="false">IF(ABS(B17-B18)&lt;1,"OK","CHECK")</f>
        <v>OK</v>
      </c>
    </row>
    <row r="20" customFormat="false" ht="15" hidden="false" customHeight="false" outlineLevel="0" collapsed="false">
      <c r="A20" s="4" t="s">
        <v>135</v>
      </c>
      <c r="B20" s="31" t="n">
        <f aca="false">B17/(Inputs!B6*8760)</f>
        <v>0.140270193086518</v>
      </c>
    </row>
    <row r="22" customFormat="false" ht="15" hidden="false" customHeight="false" outlineLevel="0" collapsed="false">
      <c r="A22" s="2" t="s">
        <v>136</v>
      </c>
    </row>
    <row r="23" customFormat="false" ht="15" hidden="false" customHeight="false" outlineLevel="0" collapsed="false">
      <c r="A23" s="4" t="s">
        <v>137</v>
      </c>
      <c r="B23" s="32" t="s">
        <v>138</v>
      </c>
    </row>
    <row r="24" customFormat="false" ht="15" hidden="false" customHeight="false" outlineLevel="0" collapsed="false">
      <c r="A24" s="4" t="s">
        <v>139</v>
      </c>
      <c r="B24" s="32" t="s">
        <v>140</v>
      </c>
    </row>
    <row r="25" customFormat="false" ht="15" hidden="false" customHeight="false" outlineLevel="0" collapsed="false">
      <c r="A25" s="4" t="s">
        <v>141</v>
      </c>
      <c r="B25" s="32" t="s">
        <v>142</v>
      </c>
    </row>
    <row r="26" customFormat="false" ht="15" hidden="false" customHeight="false" outlineLevel="0" collapsed="false">
      <c r="A26" s="4" t="s">
        <v>143</v>
      </c>
      <c r="B26" s="32" t="s">
        <v>144</v>
      </c>
    </row>
    <row r="27" customFormat="false" ht="15" hidden="false" customHeight="false" outlineLevel="0" collapsed="false">
      <c r="A27" s="4" t="s">
        <v>145</v>
      </c>
      <c r="B27" s="32" t="s">
        <v>146</v>
      </c>
    </row>
    <row r="28" customFormat="false" ht="15" hidden="false" customHeight="false" outlineLevel="0" collapsed="false">
      <c r="A28" s="4" t="s">
        <v>147</v>
      </c>
      <c r="B28" s="32" t="s">
        <v>148</v>
      </c>
    </row>
    <row r="29" customFormat="false" ht="15" hidden="false" customHeight="false" outlineLevel="0" collapsed="false">
      <c r="A29" s="4" t="s">
        <v>149</v>
      </c>
      <c r="B29" s="32" t="s">
        <v>150</v>
      </c>
    </row>
    <row r="30" customFormat="false" ht="15" hidden="false" customHeight="false" outlineLevel="0" collapsed="false">
      <c r="A30" s="4" t="s">
        <v>151</v>
      </c>
      <c r="B30" s="32" t="s">
        <v>152</v>
      </c>
    </row>
    <row r="31" customFormat="false" ht="15" hidden="false" customHeight="false" outlineLevel="0" collapsed="false">
      <c r="A31" s="4" t="s">
        <v>153</v>
      </c>
      <c r="B31" s="32" t="s">
        <v>154</v>
      </c>
    </row>
    <row r="32" customFormat="false" ht="15" hidden="false" customHeight="false" outlineLevel="0" collapsed="false">
      <c r="A32" s="4" t="s">
        <v>155</v>
      </c>
      <c r="B32" s="32" t="s">
        <v>156</v>
      </c>
    </row>
    <row r="33" customFormat="false" ht="15" hidden="false" customHeight="false" outlineLevel="0" collapsed="false">
      <c r="A33" s="4" t="s">
        <v>157</v>
      </c>
      <c r="B33" s="32" t="n">
        <v>1117</v>
      </c>
    </row>
    <row r="34" customFormat="false" ht="15" hidden="false" customHeight="false" outlineLevel="0" collapsed="false">
      <c r="A34" s="4" t="s">
        <v>158</v>
      </c>
      <c r="B34" s="32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23" min="4" style="0" width="14"/>
  </cols>
  <sheetData>
    <row r="1" customFormat="false" ht="17.35" hidden="false" customHeight="false" outlineLevel="0" collapsed="false">
      <c r="A1" s="1" t="s">
        <v>160</v>
      </c>
    </row>
    <row r="2" customFormat="false" ht="15" hidden="false" customHeight="false" outlineLevel="0" collapsed="false">
      <c r="A2" s="4" t="s">
        <v>161</v>
      </c>
    </row>
    <row r="3" customFormat="false" ht="15" hidden="false" customHeight="false" outlineLevel="0" collapsed="false">
      <c r="D3" s="33" t="s">
        <v>162</v>
      </c>
      <c r="E3" s="34"/>
      <c r="F3" s="33" t="s">
        <v>163</v>
      </c>
      <c r="G3" s="34"/>
      <c r="H3" s="34"/>
      <c r="I3" s="34"/>
      <c r="J3" s="34"/>
      <c r="K3" s="34"/>
      <c r="L3" s="33" t="s">
        <v>27</v>
      </c>
      <c r="M3" s="34"/>
      <c r="N3" s="34"/>
      <c r="O3" s="34"/>
      <c r="P3" s="34"/>
      <c r="Q3" s="34"/>
      <c r="R3" s="33" t="s">
        <v>28</v>
      </c>
      <c r="S3" s="34"/>
      <c r="T3" s="34"/>
      <c r="U3" s="34"/>
      <c r="V3" s="34"/>
      <c r="W3" s="34"/>
    </row>
    <row r="4" customFormat="false" ht="42" hidden="false" customHeight="true" outlineLevel="0" collapsed="false">
      <c r="A4" s="5" t="s">
        <v>164</v>
      </c>
      <c r="B4" s="5" t="s">
        <v>165</v>
      </c>
      <c r="C4" s="5" t="s">
        <v>166</v>
      </c>
      <c r="D4" s="5" t="s">
        <v>167</v>
      </c>
      <c r="E4" s="5" t="s">
        <v>168</v>
      </c>
      <c r="F4" s="5" t="s">
        <v>169</v>
      </c>
      <c r="G4" s="5" t="s">
        <v>170</v>
      </c>
      <c r="H4" s="5" t="s">
        <v>171</v>
      </c>
      <c r="I4" s="5" t="s">
        <v>167</v>
      </c>
      <c r="J4" s="5" t="s">
        <v>172</v>
      </c>
      <c r="K4" s="5" t="s">
        <v>173</v>
      </c>
      <c r="L4" s="5" t="s">
        <v>169</v>
      </c>
      <c r="M4" s="5" t="s">
        <v>170</v>
      </c>
      <c r="N4" s="5" t="s">
        <v>171</v>
      </c>
      <c r="O4" s="5" t="s">
        <v>167</v>
      </c>
      <c r="P4" s="5" t="s">
        <v>172</v>
      </c>
      <c r="Q4" s="5" t="s">
        <v>173</v>
      </c>
      <c r="R4" s="5" t="s">
        <v>169</v>
      </c>
      <c r="S4" s="5" t="s">
        <v>170</v>
      </c>
      <c r="T4" s="5" t="s">
        <v>171</v>
      </c>
      <c r="U4" s="5" t="s">
        <v>167</v>
      </c>
      <c r="V4" s="5" t="s">
        <v>172</v>
      </c>
      <c r="W4" s="5" t="s">
        <v>173</v>
      </c>
    </row>
    <row r="5" customFormat="false" ht="15" hidden="false" customHeight="false" outlineLevel="0" collapsed="false">
      <c r="A5" s="6" t="n">
        <v>0</v>
      </c>
      <c r="B5" s="35" t="n">
        <f aca="false">1/(1+Inputs!$B$11)^$A5</f>
        <v>1</v>
      </c>
      <c r="C5" s="36" t="n">
        <f aca="false">IF($A5&lt;=Inputs!$B$13,1,0)</f>
        <v>1</v>
      </c>
      <c r="D5" s="8" t="n">
        <f aca="false">$C5*IF($A5=Inputs!$B$15,Inputs!$B$14,0)</f>
        <v>0</v>
      </c>
      <c r="E5" s="13" t="n">
        <f aca="false">-D5</f>
        <v>-0</v>
      </c>
      <c r="F5" s="13" t="n">
        <f aca="false">$C5*IF($A5=0,Inputs!$B$8*Inputs!$B$6*1000,0)</f>
        <v>1065000</v>
      </c>
      <c r="G5" s="13" t="n">
        <f aca="false">$C5*IF($A5&gt;=1,Inputs!$B$9*Inputs!$B$6,0)</f>
        <v>0</v>
      </c>
      <c r="H5" s="13" t="n">
        <f aca="false">$C5*IF($A5=Inputs!$B$15,Inputs!$B$16,0)</f>
        <v>0</v>
      </c>
      <c r="I5" s="13" t="n">
        <f aca="false">$C5*IF($A5=Inputs!$B$15,Inputs!$B$14,0)</f>
        <v>0</v>
      </c>
      <c r="J5" s="13" t="n">
        <f aca="false">$C5*IF($A5&lt;1,0,Inputs!$B$5*(1-Inputs!$B$10)^($A5-1)*Inputs!$B$7*(1+Inputs!$B$12)^($A5-1)*(1-IF($A5=Inputs!$B$15,Inputs!$B$17/12,0)))</f>
        <v>0</v>
      </c>
      <c r="K5" s="13" t="n">
        <f aca="false">J5*Inputs!$B$18-F5-G5-H5-I5</f>
        <v>-1065000</v>
      </c>
      <c r="L5" s="13" t="n">
        <f aca="false">$C5*IF($A5=0,Inputs!$B$8*Inputs!$B$6*1000,0)</f>
        <v>1065000</v>
      </c>
      <c r="M5" s="13" t="n">
        <f aca="false">$C5*IF($A5&gt;=1,Inputs!$B$9*Inputs!$B$6,0)</f>
        <v>0</v>
      </c>
      <c r="N5" s="13" t="n">
        <f aca="false">0</f>
        <v>0</v>
      </c>
      <c r="O5" s="13" t="n">
        <f aca="false">$C5*IF($A5=0,Inputs!$B$14,0)</f>
        <v>500000</v>
      </c>
      <c r="P5" s="13" t="n">
        <f aca="false">$C5*IF($A5&lt;1,0,Inputs!$B$5*(1-Inputs!$B$10)^($A5-1)*Inputs!$B$7*(1+Inputs!$B$12)^($A5-1))</f>
        <v>0</v>
      </c>
      <c r="Q5" s="13" t="n">
        <f aca="false">P5*Inputs!$B$18-L5-M5-N5-O5</f>
        <v>-1565000</v>
      </c>
      <c r="R5" s="13" t="n">
        <f aca="false">$C5*IF($A5=Inputs!$B$15,Inputs!$B$8*Inputs!$B$6*1000,0)</f>
        <v>0</v>
      </c>
      <c r="S5" s="13" t="n">
        <f aca="false">$C5*IF($A5&gt;Inputs!$B$15,Inputs!$B$9*Inputs!$B$6,0)</f>
        <v>0</v>
      </c>
      <c r="T5" s="13" t="n">
        <f aca="false">0</f>
        <v>0</v>
      </c>
      <c r="U5" s="13" t="n">
        <f aca="false">$C5*IF($A5=Inputs!$B$15,Inputs!$B$14,0)</f>
        <v>0</v>
      </c>
      <c r="V5" s="13" t="n">
        <f aca="false">$C5*IF($A5&lt;=Inputs!$B$15,0,Inputs!$B$5*(1-Inputs!$B$10)^($A5-Inputs!$B$15-1)*Inputs!$B$7*(1+Inputs!$B$12)^($A5-1))</f>
        <v>0</v>
      </c>
      <c r="W5" s="13" t="n">
        <f aca="false">V5*Inputs!$B$18-R5-S5-T5-U5</f>
        <v>0</v>
      </c>
    </row>
    <row r="6" customFormat="false" ht="15" hidden="false" customHeight="false" outlineLevel="0" collapsed="false">
      <c r="A6" s="6" t="n">
        <v>1</v>
      </c>
      <c r="B6" s="35" t="n">
        <f aca="false">1/(1+Inputs!$B$11)^$A6</f>
        <v>0.936329588014981</v>
      </c>
      <c r="C6" s="36" t="n">
        <f aca="false">IF($A6&lt;=Inputs!$B$13,1,0)</f>
        <v>1</v>
      </c>
      <c r="D6" s="8" t="n">
        <f aca="false">$C6*IF($A6=Inputs!$B$15,Inputs!$B$14,0)</f>
        <v>0</v>
      </c>
      <c r="E6" s="13" t="n">
        <f aca="false">-D6</f>
        <v>-0</v>
      </c>
      <c r="F6" s="13" t="n">
        <f aca="false">$C6*IF($A6=0,Inputs!$B$8*Inputs!$B$6*1000,0)</f>
        <v>0</v>
      </c>
      <c r="G6" s="13" t="n">
        <f aca="false">$C6*IF($A6&gt;=1,Inputs!$B$9*Inputs!$B$6,0)</f>
        <v>10500</v>
      </c>
      <c r="H6" s="13" t="n">
        <f aca="false">$C6*IF($A6=Inputs!$B$15,Inputs!$B$16,0)</f>
        <v>0</v>
      </c>
      <c r="I6" s="13" t="n">
        <f aca="false">$C6*IF($A6=Inputs!$B$15,Inputs!$B$14,0)</f>
        <v>0</v>
      </c>
      <c r="J6" s="13" t="n">
        <f aca="false">$C6*IF($A6&lt;1,0,Inputs!$B$5*(1-Inputs!$B$10)^($A6-1)*Inputs!$B$7*(1+Inputs!$B$12)^($A6-1)*(1-IF($A6=Inputs!$B$15,Inputs!$B$17/12,0)))</f>
        <v>148127.848762839</v>
      </c>
      <c r="K6" s="13" t="n">
        <f aca="false">J6*Inputs!$B$18-F6-G6-H6-I6</f>
        <v>137627.848762839</v>
      </c>
      <c r="L6" s="13" t="n">
        <f aca="false">$C6*IF($A6=0,Inputs!$B$8*Inputs!$B$6*1000,0)</f>
        <v>0</v>
      </c>
      <c r="M6" s="13" t="n">
        <f aca="false">$C6*IF($A6&gt;=1,Inputs!$B$9*Inputs!$B$6,0)</f>
        <v>10500</v>
      </c>
      <c r="N6" s="13" t="n">
        <f aca="false">0</f>
        <v>0</v>
      </c>
      <c r="O6" s="13" t="n">
        <f aca="false">$C6*IF($A6=0,Inputs!$B$14,0)</f>
        <v>0</v>
      </c>
      <c r="P6" s="13" t="n">
        <f aca="false">$C6*IF($A6&lt;1,0,Inputs!$B$5*(1-Inputs!$B$10)^($A6-1)*Inputs!$B$7*(1+Inputs!$B$12)^($A6-1))</f>
        <v>148127.848762839</v>
      </c>
      <c r="Q6" s="13" t="n">
        <f aca="false">P6*Inputs!$B$18-L6-M6-N6-O6</f>
        <v>137627.848762839</v>
      </c>
      <c r="R6" s="13" t="n">
        <f aca="false">$C6*IF($A6=Inputs!$B$15,Inputs!$B$8*Inputs!$B$6*1000,0)</f>
        <v>0</v>
      </c>
      <c r="S6" s="13" t="n">
        <f aca="false">$C6*IF($A6&gt;Inputs!$B$15,Inputs!$B$9*Inputs!$B$6,0)</f>
        <v>0</v>
      </c>
      <c r="T6" s="13" t="n">
        <f aca="false">0</f>
        <v>0</v>
      </c>
      <c r="U6" s="13" t="n">
        <f aca="false">$C6*IF($A6=Inputs!$B$15,Inputs!$B$14,0)</f>
        <v>0</v>
      </c>
      <c r="V6" s="13" t="n">
        <f aca="false">$C6*IF($A6&lt;=Inputs!$B$15,0,Inputs!$B$5*(1-Inputs!$B$10)^($A6-Inputs!$B$15-1)*Inputs!$B$7*(1+Inputs!$B$12)^($A6-1))</f>
        <v>0</v>
      </c>
      <c r="W6" s="13" t="n">
        <f aca="false">V6*Inputs!$B$18-R6-S6-T6-U6</f>
        <v>0</v>
      </c>
    </row>
    <row r="7" customFormat="false" ht="15" hidden="false" customHeight="false" outlineLevel="0" collapsed="false">
      <c r="A7" s="6" t="n">
        <v>2</v>
      </c>
      <c r="B7" s="35" t="n">
        <f aca="false">1/(1+Inputs!$B$11)^$A7</f>
        <v>0.876713097392305</v>
      </c>
      <c r="C7" s="36" t="n">
        <f aca="false">IF($A7&lt;=Inputs!$B$13,1,0)</f>
        <v>1</v>
      </c>
      <c r="D7" s="8" t="n">
        <f aca="false">$C7*IF($A7=Inputs!$B$15,Inputs!$B$14,0)</f>
        <v>0</v>
      </c>
      <c r="E7" s="13" t="n">
        <f aca="false">-D7</f>
        <v>-0</v>
      </c>
      <c r="F7" s="13" t="n">
        <f aca="false">$C7*IF($A7=0,Inputs!$B$8*Inputs!$B$6*1000,0)</f>
        <v>0</v>
      </c>
      <c r="G7" s="13" t="n">
        <f aca="false">$C7*IF($A7&gt;=1,Inputs!$B$9*Inputs!$B$6,0)</f>
        <v>10500</v>
      </c>
      <c r="H7" s="13" t="n">
        <f aca="false">$C7*IF($A7=Inputs!$B$15,Inputs!$B$16,0)</f>
        <v>0</v>
      </c>
      <c r="I7" s="13" t="n">
        <f aca="false">$C7*IF($A7=Inputs!$B$15,Inputs!$B$14,0)</f>
        <v>0</v>
      </c>
      <c r="J7" s="13" t="n">
        <f aca="false">$C7*IF($A7&lt;1,0,Inputs!$B$5*(1-Inputs!$B$10)^($A7-1)*Inputs!$B$7*(1+Inputs!$B$12)^($A7-1)*(1-IF($A7=Inputs!$B$15,Inputs!$B$17/12,0)))</f>
        <v>147090.953821499</v>
      </c>
      <c r="K7" s="13" t="n">
        <f aca="false">J7*Inputs!$B$18-F7-G7-H7-I7</f>
        <v>136590.953821499</v>
      </c>
      <c r="L7" s="13" t="n">
        <f aca="false">$C7*IF($A7=0,Inputs!$B$8*Inputs!$B$6*1000,0)</f>
        <v>0</v>
      </c>
      <c r="M7" s="13" t="n">
        <f aca="false">$C7*IF($A7&gt;=1,Inputs!$B$9*Inputs!$B$6,0)</f>
        <v>10500</v>
      </c>
      <c r="N7" s="13" t="n">
        <f aca="false">0</f>
        <v>0</v>
      </c>
      <c r="O7" s="13" t="n">
        <f aca="false">$C7*IF($A7=0,Inputs!$B$14,0)</f>
        <v>0</v>
      </c>
      <c r="P7" s="13" t="n">
        <f aca="false">$C7*IF($A7&lt;1,0,Inputs!$B$5*(1-Inputs!$B$10)^($A7-1)*Inputs!$B$7*(1+Inputs!$B$12)^($A7-1))</f>
        <v>147090.953821499</v>
      </c>
      <c r="Q7" s="13" t="n">
        <f aca="false">P7*Inputs!$B$18-L7-M7-N7-O7</f>
        <v>136590.953821499</v>
      </c>
      <c r="R7" s="13" t="n">
        <f aca="false">$C7*IF($A7=Inputs!$B$15,Inputs!$B$8*Inputs!$B$6*1000,0)</f>
        <v>0</v>
      </c>
      <c r="S7" s="13" t="n">
        <f aca="false">$C7*IF($A7&gt;Inputs!$B$15,Inputs!$B$9*Inputs!$B$6,0)</f>
        <v>0</v>
      </c>
      <c r="T7" s="13" t="n">
        <f aca="false">0</f>
        <v>0</v>
      </c>
      <c r="U7" s="13" t="n">
        <f aca="false">$C7*IF($A7=Inputs!$B$15,Inputs!$B$14,0)</f>
        <v>0</v>
      </c>
      <c r="V7" s="13" t="n">
        <f aca="false">$C7*IF($A7&lt;=Inputs!$B$15,0,Inputs!$B$5*(1-Inputs!$B$10)^($A7-Inputs!$B$15-1)*Inputs!$B$7*(1+Inputs!$B$12)^($A7-1))</f>
        <v>0</v>
      </c>
      <c r="W7" s="13" t="n">
        <f aca="false">V7*Inputs!$B$18-R7-S7-T7-U7</f>
        <v>0</v>
      </c>
    </row>
    <row r="8" customFormat="false" ht="15" hidden="false" customHeight="false" outlineLevel="0" collapsed="false">
      <c r="A8" s="6" t="n">
        <v>3</v>
      </c>
      <c r="B8" s="35" t="n">
        <f aca="false">1/(1+Inputs!$B$11)^$A8</f>
        <v>0.820892413288675</v>
      </c>
      <c r="C8" s="36" t="n">
        <f aca="false">IF($A8&lt;=Inputs!$B$13,1,0)</f>
        <v>1</v>
      </c>
      <c r="D8" s="8" t="n">
        <f aca="false">$C8*IF($A8=Inputs!$B$15,Inputs!$B$14,0)</f>
        <v>500000</v>
      </c>
      <c r="E8" s="13" t="n">
        <f aca="false">-D8</f>
        <v>-500000</v>
      </c>
      <c r="F8" s="13" t="n">
        <f aca="false">$C8*IF($A8=0,Inputs!$B$8*Inputs!$B$6*1000,0)</f>
        <v>0</v>
      </c>
      <c r="G8" s="13" t="n">
        <f aca="false">$C8*IF($A8&gt;=1,Inputs!$B$9*Inputs!$B$6,0)</f>
        <v>10500</v>
      </c>
      <c r="H8" s="13" t="n">
        <f aca="false">$C8*IF($A8=Inputs!$B$15,Inputs!$B$16,0)</f>
        <v>75000</v>
      </c>
      <c r="I8" s="13" t="n">
        <f aca="false">$C8*IF($A8=Inputs!$B$15,Inputs!$B$14,0)</f>
        <v>500000</v>
      </c>
      <c r="J8" s="13" t="n">
        <f aca="false">$C8*IF($A8&lt;1,0,Inputs!$B$5*(1-Inputs!$B$10)^($A8-1)*Inputs!$B$7*(1+Inputs!$B$12)^($A8-1)*(1-IF($A8=Inputs!$B$15,Inputs!$B$17/12,0)))</f>
        <v>121717.76428729</v>
      </c>
      <c r="K8" s="13" t="n">
        <f aca="false">J8*Inputs!$B$18-F8-G8-H8-I8</f>
        <v>-463782.23571271</v>
      </c>
      <c r="L8" s="13" t="n">
        <f aca="false">$C8*IF($A8=0,Inputs!$B$8*Inputs!$B$6*1000,0)</f>
        <v>0</v>
      </c>
      <c r="M8" s="13" t="n">
        <f aca="false">$C8*IF($A8&gt;=1,Inputs!$B$9*Inputs!$B$6,0)</f>
        <v>10500</v>
      </c>
      <c r="N8" s="13" t="n">
        <f aca="false">0</f>
        <v>0</v>
      </c>
      <c r="O8" s="13" t="n">
        <f aca="false">$C8*IF($A8=0,Inputs!$B$14,0)</f>
        <v>0</v>
      </c>
      <c r="P8" s="13" t="n">
        <f aca="false">$C8*IF($A8&lt;1,0,Inputs!$B$5*(1-Inputs!$B$10)^($A8-1)*Inputs!$B$7*(1+Inputs!$B$12)^($A8-1))</f>
        <v>146061.317144749</v>
      </c>
      <c r="Q8" s="13" t="n">
        <f aca="false">P8*Inputs!$B$18-L8-M8-N8-O8</f>
        <v>135561.317144749</v>
      </c>
      <c r="R8" s="13" t="n">
        <f aca="false">$C8*IF($A8=Inputs!$B$15,Inputs!$B$8*Inputs!$B$6*1000,0)</f>
        <v>1065000</v>
      </c>
      <c r="S8" s="13" t="n">
        <f aca="false">$C8*IF($A8&gt;Inputs!$B$15,Inputs!$B$9*Inputs!$B$6,0)</f>
        <v>0</v>
      </c>
      <c r="T8" s="13" t="n">
        <f aca="false">0</f>
        <v>0</v>
      </c>
      <c r="U8" s="13" t="n">
        <f aca="false">$C8*IF($A8=Inputs!$B$15,Inputs!$B$14,0)</f>
        <v>500000</v>
      </c>
      <c r="V8" s="13" t="n">
        <f aca="false">$C8*IF($A8&lt;=Inputs!$B$15,0,Inputs!$B$5*(1-Inputs!$B$10)^($A8-Inputs!$B$15-1)*Inputs!$B$7*(1+Inputs!$B$12)^($A8-1))</f>
        <v>0</v>
      </c>
      <c r="W8" s="13" t="n">
        <f aca="false">V8*Inputs!$B$18-R8-S8-T8-U8</f>
        <v>-1565000</v>
      </c>
    </row>
    <row r="9" customFormat="false" ht="15" hidden="false" customHeight="false" outlineLevel="0" collapsed="false">
      <c r="A9" s="6" t="n">
        <v>4</v>
      </c>
      <c r="B9" s="35" t="n">
        <f aca="false">1/(1+Inputs!$B$11)^$A9</f>
        <v>0.768625855139208</v>
      </c>
      <c r="C9" s="36" t="n">
        <f aca="false">IF($A9&lt;=Inputs!$B$13,1,0)</f>
        <v>1</v>
      </c>
      <c r="D9" s="8" t="n">
        <f aca="false">$C9*IF($A9=Inputs!$B$15,Inputs!$B$14,0)</f>
        <v>0</v>
      </c>
      <c r="E9" s="13" t="n">
        <f aca="false">-D9</f>
        <v>-0</v>
      </c>
      <c r="F9" s="13" t="n">
        <f aca="false">$C9*IF($A9=0,Inputs!$B$8*Inputs!$B$6*1000,0)</f>
        <v>0</v>
      </c>
      <c r="G9" s="13" t="n">
        <f aca="false">$C9*IF($A9&gt;=1,Inputs!$B$9*Inputs!$B$6,0)</f>
        <v>10500</v>
      </c>
      <c r="H9" s="13" t="n">
        <f aca="false">$C9*IF($A9=Inputs!$B$15,Inputs!$B$16,0)</f>
        <v>0</v>
      </c>
      <c r="I9" s="13" t="n">
        <f aca="false">$C9*IF($A9=Inputs!$B$15,Inputs!$B$14,0)</f>
        <v>0</v>
      </c>
      <c r="J9" s="13" t="n">
        <f aca="false">$C9*IF($A9&lt;1,0,Inputs!$B$5*(1-Inputs!$B$10)^($A9-1)*Inputs!$B$7*(1+Inputs!$B$12)^($A9-1)*(1-IF($A9=Inputs!$B$15,Inputs!$B$17/12,0)))</f>
        <v>145038.887924735</v>
      </c>
      <c r="K9" s="13" t="n">
        <f aca="false">J9*Inputs!$B$18-F9-G9-H9-I9</f>
        <v>134538.887924735</v>
      </c>
      <c r="L9" s="13" t="n">
        <f aca="false">$C9*IF($A9=0,Inputs!$B$8*Inputs!$B$6*1000,0)</f>
        <v>0</v>
      </c>
      <c r="M9" s="13" t="n">
        <f aca="false">$C9*IF($A9&gt;=1,Inputs!$B$9*Inputs!$B$6,0)</f>
        <v>10500</v>
      </c>
      <c r="N9" s="13" t="n">
        <f aca="false">0</f>
        <v>0</v>
      </c>
      <c r="O9" s="13" t="n">
        <f aca="false">$C9*IF($A9=0,Inputs!$B$14,0)</f>
        <v>0</v>
      </c>
      <c r="P9" s="13" t="n">
        <f aca="false">$C9*IF($A9&lt;1,0,Inputs!$B$5*(1-Inputs!$B$10)^($A9-1)*Inputs!$B$7*(1+Inputs!$B$12)^($A9-1))</f>
        <v>145038.887924735</v>
      </c>
      <c r="Q9" s="13" t="n">
        <f aca="false">P9*Inputs!$B$18-L9-M9-N9-O9</f>
        <v>134538.887924735</v>
      </c>
      <c r="R9" s="13" t="n">
        <f aca="false">$C9*IF($A9=Inputs!$B$15,Inputs!$B$8*Inputs!$B$6*1000,0)</f>
        <v>0</v>
      </c>
      <c r="S9" s="13" t="n">
        <f aca="false">$C9*IF($A9&gt;Inputs!$B$15,Inputs!$B$9*Inputs!$B$6,0)</f>
        <v>10500</v>
      </c>
      <c r="T9" s="13" t="n">
        <f aca="false">0</f>
        <v>0</v>
      </c>
      <c r="U9" s="13" t="n">
        <f aca="false">$C9*IF($A9=Inputs!$B$15,Inputs!$B$14,0)</f>
        <v>0</v>
      </c>
      <c r="V9" s="13" t="n">
        <f aca="false">$C9*IF($A9&lt;=Inputs!$B$15,0,Inputs!$B$5*(1-Inputs!$B$10)^($A9-Inputs!$B$15-1)*Inputs!$B$7*(1+Inputs!$B$12)^($A9-1))</f>
        <v>148127.848762839</v>
      </c>
      <c r="W9" s="13" t="n">
        <f aca="false">V9*Inputs!$B$18-R9-S9-T9-U9</f>
        <v>137627.848762839</v>
      </c>
    </row>
    <row r="10" customFormat="false" ht="15" hidden="false" customHeight="false" outlineLevel="0" collapsed="false">
      <c r="A10" s="6" t="n">
        <v>5</v>
      </c>
      <c r="B10" s="35" t="n">
        <f aca="false">1/(1+Inputs!$B$11)^$A10</f>
        <v>0.719687130280158</v>
      </c>
      <c r="C10" s="36" t="n">
        <f aca="false">IF($A10&lt;=Inputs!$B$13,1,0)</f>
        <v>1</v>
      </c>
      <c r="D10" s="8" t="n">
        <f aca="false">$C10*IF($A10=Inputs!$B$15,Inputs!$B$14,0)</f>
        <v>0</v>
      </c>
      <c r="E10" s="13" t="n">
        <f aca="false">-D10</f>
        <v>-0</v>
      </c>
      <c r="F10" s="13" t="n">
        <f aca="false">$C10*IF($A10=0,Inputs!$B$8*Inputs!$B$6*1000,0)</f>
        <v>0</v>
      </c>
      <c r="G10" s="13" t="n">
        <f aca="false">$C10*IF($A10&gt;=1,Inputs!$B$9*Inputs!$B$6,0)</f>
        <v>10500</v>
      </c>
      <c r="H10" s="13" t="n">
        <f aca="false">$C10*IF($A10=Inputs!$B$15,Inputs!$B$16,0)</f>
        <v>0</v>
      </c>
      <c r="I10" s="13" t="n">
        <f aca="false">$C10*IF($A10=Inputs!$B$15,Inputs!$B$14,0)</f>
        <v>0</v>
      </c>
      <c r="J10" s="13" t="n">
        <f aca="false">$C10*IF($A10&lt;1,0,Inputs!$B$5*(1-Inputs!$B$10)^($A10-1)*Inputs!$B$7*(1+Inputs!$B$12)^($A10-1)*(1-IF($A10=Inputs!$B$15,Inputs!$B$17/12,0)))</f>
        <v>144023.615709262</v>
      </c>
      <c r="K10" s="13" t="n">
        <f aca="false">J10*Inputs!$B$18-F10-G10-H10-I10</f>
        <v>133523.615709262</v>
      </c>
      <c r="L10" s="13" t="n">
        <f aca="false">$C10*IF($A10=0,Inputs!$B$8*Inputs!$B$6*1000,0)</f>
        <v>0</v>
      </c>
      <c r="M10" s="13" t="n">
        <f aca="false">$C10*IF($A10&gt;=1,Inputs!$B$9*Inputs!$B$6,0)</f>
        <v>10500</v>
      </c>
      <c r="N10" s="13" t="n">
        <f aca="false">0</f>
        <v>0</v>
      </c>
      <c r="O10" s="13" t="n">
        <f aca="false">$C10*IF($A10=0,Inputs!$B$14,0)</f>
        <v>0</v>
      </c>
      <c r="P10" s="13" t="n">
        <f aca="false">$C10*IF($A10&lt;1,0,Inputs!$B$5*(1-Inputs!$B$10)^($A10-1)*Inputs!$B$7*(1+Inputs!$B$12)^($A10-1))</f>
        <v>144023.615709262</v>
      </c>
      <c r="Q10" s="13" t="n">
        <f aca="false">P10*Inputs!$B$18-L10-M10-N10-O10</f>
        <v>133523.615709262</v>
      </c>
      <c r="R10" s="13" t="n">
        <f aca="false">$C10*IF($A10=Inputs!$B$15,Inputs!$B$8*Inputs!$B$6*1000,0)</f>
        <v>0</v>
      </c>
      <c r="S10" s="13" t="n">
        <f aca="false">$C10*IF($A10&gt;Inputs!$B$15,Inputs!$B$9*Inputs!$B$6,0)</f>
        <v>10500</v>
      </c>
      <c r="T10" s="13" t="n">
        <f aca="false">0</f>
        <v>0</v>
      </c>
      <c r="U10" s="13" t="n">
        <f aca="false">$C10*IF($A10=Inputs!$B$15,Inputs!$B$14,0)</f>
        <v>0</v>
      </c>
      <c r="V10" s="13" t="n">
        <f aca="false">$C10*IF($A10&lt;=Inputs!$B$15,0,Inputs!$B$5*(1-Inputs!$B$10)^($A10-Inputs!$B$15-1)*Inputs!$B$7*(1+Inputs!$B$12)^($A10-1))</f>
        <v>147090.953821499</v>
      </c>
      <c r="W10" s="13" t="n">
        <f aca="false">V10*Inputs!$B$18-R10-S10-T10-U10</f>
        <v>136590.953821499</v>
      </c>
    </row>
    <row r="11" customFormat="false" ht="15" hidden="false" customHeight="false" outlineLevel="0" collapsed="false">
      <c r="A11" s="6" t="n">
        <v>6</v>
      </c>
      <c r="B11" s="35" t="n">
        <f aca="false">1/(1+Inputs!$B$11)^$A11</f>
        <v>0.673864354194904</v>
      </c>
      <c r="C11" s="36" t="n">
        <f aca="false">IF($A11&lt;=Inputs!$B$13,1,0)</f>
        <v>1</v>
      </c>
      <c r="D11" s="8" t="n">
        <f aca="false">$C11*IF($A11=Inputs!$B$15,Inputs!$B$14,0)</f>
        <v>0</v>
      </c>
      <c r="E11" s="13" t="n">
        <f aca="false">-D11</f>
        <v>-0</v>
      </c>
      <c r="F11" s="13" t="n">
        <f aca="false">$C11*IF($A11=0,Inputs!$B$8*Inputs!$B$6*1000,0)</f>
        <v>0</v>
      </c>
      <c r="G11" s="13" t="n">
        <f aca="false">$C11*IF($A11&gt;=1,Inputs!$B$9*Inputs!$B$6,0)</f>
        <v>10500</v>
      </c>
      <c r="H11" s="13" t="n">
        <f aca="false">$C11*IF($A11=Inputs!$B$15,Inputs!$B$16,0)</f>
        <v>0</v>
      </c>
      <c r="I11" s="13" t="n">
        <f aca="false">$C11*IF($A11=Inputs!$B$15,Inputs!$B$14,0)</f>
        <v>0</v>
      </c>
      <c r="J11" s="13" t="n">
        <f aca="false">$C11*IF($A11&lt;1,0,Inputs!$B$5*(1-Inputs!$B$10)^($A11-1)*Inputs!$B$7*(1+Inputs!$B$12)^($A11-1)*(1-IF($A11=Inputs!$B$15,Inputs!$B$17/12,0)))</f>
        <v>143015.450399297</v>
      </c>
      <c r="K11" s="13" t="n">
        <f aca="false">J11*Inputs!$B$18-F11-G11-H11-I11</f>
        <v>132515.450399297</v>
      </c>
      <c r="L11" s="13" t="n">
        <f aca="false">$C11*IF($A11=0,Inputs!$B$8*Inputs!$B$6*1000,0)</f>
        <v>0</v>
      </c>
      <c r="M11" s="13" t="n">
        <f aca="false">$C11*IF($A11&gt;=1,Inputs!$B$9*Inputs!$B$6,0)</f>
        <v>10500</v>
      </c>
      <c r="N11" s="13" t="n">
        <f aca="false">0</f>
        <v>0</v>
      </c>
      <c r="O11" s="13" t="n">
        <f aca="false">$C11*IF($A11=0,Inputs!$B$14,0)</f>
        <v>0</v>
      </c>
      <c r="P11" s="13" t="n">
        <f aca="false">$C11*IF($A11&lt;1,0,Inputs!$B$5*(1-Inputs!$B$10)^($A11-1)*Inputs!$B$7*(1+Inputs!$B$12)^($A11-1))</f>
        <v>143015.450399297</v>
      </c>
      <c r="Q11" s="13" t="n">
        <f aca="false">P11*Inputs!$B$18-L11-M11-N11-O11</f>
        <v>132515.450399297</v>
      </c>
      <c r="R11" s="13" t="n">
        <f aca="false">$C11*IF($A11=Inputs!$B$15,Inputs!$B$8*Inputs!$B$6*1000,0)</f>
        <v>0</v>
      </c>
      <c r="S11" s="13" t="n">
        <f aca="false">$C11*IF($A11&gt;Inputs!$B$15,Inputs!$B$9*Inputs!$B$6,0)</f>
        <v>10500</v>
      </c>
      <c r="T11" s="13" t="n">
        <f aca="false">0</f>
        <v>0</v>
      </c>
      <c r="U11" s="13" t="n">
        <f aca="false">$C11*IF($A11=Inputs!$B$15,Inputs!$B$14,0)</f>
        <v>0</v>
      </c>
      <c r="V11" s="13" t="n">
        <f aca="false">$C11*IF($A11&lt;=Inputs!$B$15,0,Inputs!$B$5*(1-Inputs!$B$10)^($A11-Inputs!$B$15-1)*Inputs!$B$7*(1+Inputs!$B$12)^($A11-1))</f>
        <v>146061.317144749</v>
      </c>
      <c r="W11" s="13" t="n">
        <f aca="false">V11*Inputs!$B$18-R11-S11-T11-U11</f>
        <v>135561.317144749</v>
      </c>
    </row>
    <row r="12" customFormat="false" ht="15" hidden="false" customHeight="false" outlineLevel="0" collapsed="false">
      <c r="A12" s="6" t="n">
        <v>7</v>
      </c>
      <c r="B12" s="35" t="n">
        <f aca="false">1/(1+Inputs!$B$11)^$A12</f>
        <v>0.630959133141296</v>
      </c>
      <c r="C12" s="36" t="n">
        <f aca="false">IF($A12&lt;=Inputs!$B$13,1,0)</f>
        <v>1</v>
      </c>
      <c r="D12" s="8" t="n">
        <f aca="false">$C12*IF($A12=Inputs!$B$15,Inputs!$B$14,0)</f>
        <v>0</v>
      </c>
      <c r="E12" s="13" t="n">
        <f aca="false">-D12</f>
        <v>-0</v>
      </c>
      <c r="F12" s="13" t="n">
        <f aca="false">$C12*IF($A12=0,Inputs!$B$8*Inputs!$B$6*1000,0)</f>
        <v>0</v>
      </c>
      <c r="G12" s="13" t="n">
        <f aca="false">$C12*IF($A12&gt;=1,Inputs!$B$9*Inputs!$B$6,0)</f>
        <v>10500</v>
      </c>
      <c r="H12" s="13" t="n">
        <f aca="false">$C12*IF($A12=Inputs!$B$15,Inputs!$B$16,0)</f>
        <v>0</v>
      </c>
      <c r="I12" s="13" t="n">
        <f aca="false">$C12*IF($A12=Inputs!$B$15,Inputs!$B$14,0)</f>
        <v>0</v>
      </c>
      <c r="J12" s="13" t="n">
        <f aca="false">$C12*IF($A12&lt;1,0,Inputs!$B$5*(1-Inputs!$B$10)^($A12-1)*Inputs!$B$7*(1+Inputs!$B$12)^($A12-1)*(1-IF($A12=Inputs!$B$15,Inputs!$B$17/12,0)))</f>
        <v>142014.342246502</v>
      </c>
      <c r="K12" s="13" t="n">
        <f aca="false">J12*Inputs!$B$18-F12-G12-H12-I12</f>
        <v>131514.342246502</v>
      </c>
      <c r="L12" s="13" t="n">
        <f aca="false">$C12*IF($A12=0,Inputs!$B$8*Inputs!$B$6*1000,0)</f>
        <v>0</v>
      </c>
      <c r="M12" s="13" t="n">
        <f aca="false">$C12*IF($A12&gt;=1,Inputs!$B$9*Inputs!$B$6,0)</f>
        <v>10500</v>
      </c>
      <c r="N12" s="13" t="n">
        <f aca="false">0</f>
        <v>0</v>
      </c>
      <c r="O12" s="13" t="n">
        <f aca="false">$C12*IF($A12=0,Inputs!$B$14,0)</f>
        <v>0</v>
      </c>
      <c r="P12" s="13" t="n">
        <f aca="false">$C12*IF($A12&lt;1,0,Inputs!$B$5*(1-Inputs!$B$10)^($A12-1)*Inputs!$B$7*(1+Inputs!$B$12)^($A12-1))</f>
        <v>142014.342246502</v>
      </c>
      <c r="Q12" s="13" t="n">
        <f aca="false">P12*Inputs!$B$18-L12-M12-N12-O12</f>
        <v>131514.342246502</v>
      </c>
      <c r="R12" s="13" t="n">
        <f aca="false">$C12*IF($A12=Inputs!$B$15,Inputs!$B$8*Inputs!$B$6*1000,0)</f>
        <v>0</v>
      </c>
      <c r="S12" s="13" t="n">
        <f aca="false">$C12*IF($A12&gt;Inputs!$B$15,Inputs!$B$9*Inputs!$B$6,0)</f>
        <v>10500</v>
      </c>
      <c r="T12" s="13" t="n">
        <f aca="false">0</f>
        <v>0</v>
      </c>
      <c r="U12" s="13" t="n">
        <f aca="false">$C12*IF($A12=Inputs!$B$15,Inputs!$B$14,0)</f>
        <v>0</v>
      </c>
      <c r="V12" s="13" t="n">
        <f aca="false">$C12*IF($A12&lt;=Inputs!$B$15,0,Inputs!$B$5*(1-Inputs!$B$10)^($A12-Inputs!$B$15-1)*Inputs!$B$7*(1+Inputs!$B$12)^($A12-1))</f>
        <v>145038.887924735</v>
      </c>
      <c r="W12" s="13" t="n">
        <f aca="false">V12*Inputs!$B$18-R12-S12-T12-U12</f>
        <v>134538.887924735</v>
      </c>
    </row>
    <row r="13" customFormat="false" ht="15" hidden="false" customHeight="false" outlineLevel="0" collapsed="false">
      <c r="A13" s="6" t="n">
        <v>8</v>
      </c>
      <c r="B13" s="35" t="n">
        <f aca="false">1/(1+Inputs!$B$11)^$A13</f>
        <v>0.590785705188479</v>
      </c>
      <c r="C13" s="36" t="n">
        <f aca="false">IF($A13&lt;=Inputs!$B$13,1,0)</f>
        <v>1</v>
      </c>
      <c r="D13" s="8" t="n">
        <f aca="false">$C13*IF($A13=Inputs!$B$15,Inputs!$B$14,0)</f>
        <v>0</v>
      </c>
      <c r="E13" s="13" t="n">
        <f aca="false">-D13</f>
        <v>-0</v>
      </c>
      <c r="F13" s="13" t="n">
        <f aca="false">$C13*IF($A13=0,Inputs!$B$8*Inputs!$B$6*1000,0)</f>
        <v>0</v>
      </c>
      <c r="G13" s="13" t="n">
        <f aca="false">$C13*IF($A13&gt;=1,Inputs!$B$9*Inputs!$B$6,0)</f>
        <v>10500</v>
      </c>
      <c r="H13" s="13" t="n">
        <f aca="false">$C13*IF($A13=Inputs!$B$15,Inputs!$B$16,0)</f>
        <v>0</v>
      </c>
      <c r="I13" s="13" t="n">
        <f aca="false">$C13*IF($A13=Inputs!$B$15,Inputs!$B$14,0)</f>
        <v>0</v>
      </c>
      <c r="J13" s="13" t="n">
        <f aca="false">$C13*IF($A13&lt;1,0,Inputs!$B$5*(1-Inputs!$B$10)^($A13-1)*Inputs!$B$7*(1+Inputs!$B$12)^($A13-1)*(1-IF($A13=Inputs!$B$15,Inputs!$B$17/12,0)))</f>
        <v>141020.241850777</v>
      </c>
      <c r="K13" s="13" t="n">
        <f aca="false">J13*Inputs!$B$18-F13-G13-H13-I13</f>
        <v>130520.241850777</v>
      </c>
      <c r="L13" s="13" t="n">
        <f aca="false">$C13*IF($A13=0,Inputs!$B$8*Inputs!$B$6*1000,0)</f>
        <v>0</v>
      </c>
      <c r="M13" s="13" t="n">
        <f aca="false">$C13*IF($A13&gt;=1,Inputs!$B$9*Inputs!$B$6,0)</f>
        <v>10500</v>
      </c>
      <c r="N13" s="13" t="n">
        <f aca="false">0</f>
        <v>0</v>
      </c>
      <c r="O13" s="13" t="n">
        <f aca="false">$C13*IF($A13=0,Inputs!$B$14,0)</f>
        <v>0</v>
      </c>
      <c r="P13" s="13" t="n">
        <f aca="false">$C13*IF($A13&lt;1,0,Inputs!$B$5*(1-Inputs!$B$10)^($A13-1)*Inputs!$B$7*(1+Inputs!$B$12)^($A13-1))</f>
        <v>141020.241850777</v>
      </c>
      <c r="Q13" s="13" t="n">
        <f aca="false">P13*Inputs!$B$18-L13-M13-N13-O13</f>
        <v>130520.241850777</v>
      </c>
      <c r="R13" s="13" t="n">
        <f aca="false">$C13*IF($A13=Inputs!$B$15,Inputs!$B$8*Inputs!$B$6*1000,0)</f>
        <v>0</v>
      </c>
      <c r="S13" s="13" t="n">
        <f aca="false">$C13*IF($A13&gt;Inputs!$B$15,Inputs!$B$9*Inputs!$B$6,0)</f>
        <v>10500</v>
      </c>
      <c r="T13" s="13" t="n">
        <f aca="false">0</f>
        <v>0</v>
      </c>
      <c r="U13" s="13" t="n">
        <f aca="false">$C13*IF($A13=Inputs!$B$15,Inputs!$B$14,0)</f>
        <v>0</v>
      </c>
      <c r="V13" s="13" t="n">
        <f aca="false">$C13*IF($A13&lt;=Inputs!$B$15,0,Inputs!$B$5*(1-Inputs!$B$10)^($A13-Inputs!$B$15-1)*Inputs!$B$7*(1+Inputs!$B$12)^($A13-1))</f>
        <v>144023.615709262</v>
      </c>
      <c r="W13" s="13" t="n">
        <f aca="false">V13*Inputs!$B$18-R13-S13-T13-U13</f>
        <v>133523.615709262</v>
      </c>
    </row>
    <row r="14" customFormat="false" ht="15" hidden="false" customHeight="false" outlineLevel="0" collapsed="false">
      <c r="A14" s="6" t="n">
        <v>9</v>
      </c>
      <c r="B14" s="35" t="n">
        <f aca="false">1/(1+Inputs!$B$11)^$A14</f>
        <v>0.553170135944269</v>
      </c>
      <c r="C14" s="36" t="n">
        <f aca="false">IF($A14&lt;=Inputs!$B$13,1,0)</f>
        <v>1</v>
      </c>
      <c r="D14" s="8" t="n">
        <f aca="false">$C14*IF($A14=Inputs!$B$15,Inputs!$B$14,0)</f>
        <v>0</v>
      </c>
      <c r="E14" s="13" t="n">
        <f aca="false">-D14</f>
        <v>-0</v>
      </c>
      <c r="F14" s="13" t="n">
        <f aca="false">$C14*IF($A14=0,Inputs!$B$8*Inputs!$B$6*1000,0)</f>
        <v>0</v>
      </c>
      <c r="G14" s="13" t="n">
        <f aca="false">$C14*IF($A14&gt;=1,Inputs!$B$9*Inputs!$B$6,0)</f>
        <v>10500</v>
      </c>
      <c r="H14" s="13" t="n">
        <f aca="false">$C14*IF($A14=Inputs!$B$15,Inputs!$B$16,0)</f>
        <v>0</v>
      </c>
      <c r="I14" s="13" t="n">
        <f aca="false">$C14*IF($A14=Inputs!$B$15,Inputs!$B$14,0)</f>
        <v>0</v>
      </c>
      <c r="J14" s="13" t="n">
        <f aca="false">$C14*IF($A14&lt;1,0,Inputs!$B$5*(1-Inputs!$B$10)^($A14-1)*Inputs!$B$7*(1+Inputs!$B$12)^($A14-1)*(1-IF($A14=Inputs!$B$15,Inputs!$B$17/12,0)))</f>
        <v>140033.100157821</v>
      </c>
      <c r="K14" s="13" t="n">
        <f aca="false">J14*Inputs!$B$18-F14-G14-H14-I14</f>
        <v>129533.100157821</v>
      </c>
      <c r="L14" s="13" t="n">
        <f aca="false">$C14*IF($A14=0,Inputs!$B$8*Inputs!$B$6*1000,0)</f>
        <v>0</v>
      </c>
      <c r="M14" s="13" t="n">
        <f aca="false">$C14*IF($A14&gt;=1,Inputs!$B$9*Inputs!$B$6,0)</f>
        <v>10500</v>
      </c>
      <c r="N14" s="13" t="n">
        <f aca="false">0</f>
        <v>0</v>
      </c>
      <c r="O14" s="13" t="n">
        <f aca="false">$C14*IF($A14=0,Inputs!$B$14,0)</f>
        <v>0</v>
      </c>
      <c r="P14" s="13" t="n">
        <f aca="false">$C14*IF($A14&lt;1,0,Inputs!$B$5*(1-Inputs!$B$10)^($A14-1)*Inputs!$B$7*(1+Inputs!$B$12)^($A14-1))</f>
        <v>140033.100157821</v>
      </c>
      <c r="Q14" s="13" t="n">
        <f aca="false">P14*Inputs!$B$18-L14-M14-N14-O14</f>
        <v>129533.100157821</v>
      </c>
      <c r="R14" s="13" t="n">
        <f aca="false">$C14*IF($A14=Inputs!$B$15,Inputs!$B$8*Inputs!$B$6*1000,0)</f>
        <v>0</v>
      </c>
      <c r="S14" s="13" t="n">
        <f aca="false">$C14*IF($A14&gt;Inputs!$B$15,Inputs!$B$9*Inputs!$B$6,0)</f>
        <v>10500</v>
      </c>
      <c r="T14" s="13" t="n">
        <f aca="false">0</f>
        <v>0</v>
      </c>
      <c r="U14" s="13" t="n">
        <f aca="false">$C14*IF($A14=Inputs!$B$15,Inputs!$B$14,0)</f>
        <v>0</v>
      </c>
      <c r="V14" s="13" t="n">
        <f aca="false">$C14*IF($A14&lt;=Inputs!$B$15,0,Inputs!$B$5*(1-Inputs!$B$10)^($A14-Inputs!$B$15-1)*Inputs!$B$7*(1+Inputs!$B$12)^($A14-1))</f>
        <v>143015.450399297</v>
      </c>
      <c r="W14" s="13" t="n">
        <f aca="false">V14*Inputs!$B$18-R14-S14-T14-U14</f>
        <v>132515.450399297</v>
      </c>
    </row>
    <row r="15" customFormat="false" ht="15" hidden="false" customHeight="false" outlineLevel="0" collapsed="false">
      <c r="A15" s="6" t="n">
        <v>10</v>
      </c>
      <c r="B15" s="35" t="n">
        <f aca="false">1/(1+Inputs!$B$11)^$A15</f>
        <v>0.517949565490889</v>
      </c>
      <c r="C15" s="36" t="n">
        <f aca="false">IF($A15&lt;=Inputs!$B$13,1,0)</f>
        <v>1</v>
      </c>
      <c r="D15" s="8" t="n">
        <f aca="false">$C15*IF($A15=Inputs!$B$15,Inputs!$B$14,0)</f>
        <v>0</v>
      </c>
      <c r="E15" s="13" t="n">
        <f aca="false">-D15</f>
        <v>-0</v>
      </c>
      <c r="F15" s="13" t="n">
        <f aca="false">$C15*IF($A15=0,Inputs!$B$8*Inputs!$B$6*1000,0)</f>
        <v>0</v>
      </c>
      <c r="G15" s="13" t="n">
        <f aca="false">$C15*IF($A15&gt;=1,Inputs!$B$9*Inputs!$B$6,0)</f>
        <v>10500</v>
      </c>
      <c r="H15" s="13" t="n">
        <f aca="false">$C15*IF($A15=Inputs!$B$15,Inputs!$B$16,0)</f>
        <v>0</v>
      </c>
      <c r="I15" s="13" t="n">
        <f aca="false">$C15*IF($A15=Inputs!$B$15,Inputs!$B$14,0)</f>
        <v>0</v>
      </c>
      <c r="J15" s="13" t="n">
        <f aca="false">$C15*IF($A15&lt;1,0,Inputs!$B$5*(1-Inputs!$B$10)^($A15-1)*Inputs!$B$7*(1+Inputs!$B$12)^($A15-1)*(1-IF($A15=Inputs!$B$15,Inputs!$B$17/12,0)))</f>
        <v>139052.868456717</v>
      </c>
      <c r="K15" s="13" t="n">
        <f aca="false">J15*Inputs!$B$18-F15-G15-H15-I15</f>
        <v>128552.868456717</v>
      </c>
      <c r="L15" s="13" t="n">
        <f aca="false">$C15*IF($A15=0,Inputs!$B$8*Inputs!$B$6*1000,0)</f>
        <v>0</v>
      </c>
      <c r="M15" s="13" t="n">
        <f aca="false">$C15*IF($A15&gt;=1,Inputs!$B$9*Inputs!$B$6,0)</f>
        <v>10500</v>
      </c>
      <c r="N15" s="13" t="n">
        <f aca="false">0</f>
        <v>0</v>
      </c>
      <c r="O15" s="13" t="n">
        <f aca="false">$C15*IF($A15=0,Inputs!$B$14,0)</f>
        <v>0</v>
      </c>
      <c r="P15" s="13" t="n">
        <f aca="false">$C15*IF($A15&lt;1,0,Inputs!$B$5*(1-Inputs!$B$10)^($A15-1)*Inputs!$B$7*(1+Inputs!$B$12)^($A15-1))</f>
        <v>139052.868456717</v>
      </c>
      <c r="Q15" s="13" t="n">
        <f aca="false">P15*Inputs!$B$18-L15-M15-N15-O15</f>
        <v>128552.868456717</v>
      </c>
      <c r="R15" s="13" t="n">
        <f aca="false">$C15*IF($A15=Inputs!$B$15,Inputs!$B$8*Inputs!$B$6*1000,0)</f>
        <v>0</v>
      </c>
      <c r="S15" s="13" t="n">
        <f aca="false">$C15*IF($A15&gt;Inputs!$B$15,Inputs!$B$9*Inputs!$B$6,0)</f>
        <v>10500</v>
      </c>
      <c r="T15" s="13" t="n">
        <f aca="false">0</f>
        <v>0</v>
      </c>
      <c r="U15" s="13" t="n">
        <f aca="false">$C15*IF($A15=Inputs!$B$15,Inputs!$B$14,0)</f>
        <v>0</v>
      </c>
      <c r="V15" s="13" t="n">
        <f aca="false">$C15*IF($A15&lt;=Inputs!$B$15,0,Inputs!$B$5*(1-Inputs!$B$10)^($A15-Inputs!$B$15-1)*Inputs!$B$7*(1+Inputs!$B$12)^($A15-1))</f>
        <v>142014.342246502</v>
      </c>
      <c r="W15" s="13" t="n">
        <f aca="false">V15*Inputs!$B$18-R15-S15-T15-U15</f>
        <v>131514.342246502</v>
      </c>
    </row>
    <row r="16" customFormat="false" ht="15" hidden="false" customHeight="false" outlineLevel="0" collapsed="false">
      <c r="A16" s="6" t="n">
        <v>11</v>
      </c>
      <c r="B16" s="35" t="n">
        <f aca="false">1/(1+Inputs!$B$11)^$A16</f>
        <v>0.484971503268622</v>
      </c>
      <c r="C16" s="36" t="n">
        <f aca="false">IF($A16&lt;=Inputs!$B$13,1,0)</f>
        <v>1</v>
      </c>
      <c r="D16" s="8" t="n">
        <f aca="false">$C16*IF($A16=Inputs!$B$15,Inputs!$B$14,0)</f>
        <v>0</v>
      </c>
      <c r="E16" s="13" t="n">
        <f aca="false">-D16</f>
        <v>-0</v>
      </c>
      <c r="F16" s="13" t="n">
        <f aca="false">$C16*IF($A16=0,Inputs!$B$8*Inputs!$B$6*1000,0)</f>
        <v>0</v>
      </c>
      <c r="G16" s="13" t="n">
        <f aca="false">$C16*IF($A16&gt;=1,Inputs!$B$9*Inputs!$B$6,0)</f>
        <v>10500</v>
      </c>
      <c r="H16" s="13" t="n">
        <f aca="false">$C16*IF($A16=Inputs!$B$15,Inputs!$B$16,0)</f>
        <v>0</v>
      </c>
      <c r="I16" s="13" t="n">
        <f aca="false">$C16*IF($A16=Inputs!$B$15,Inputs!$B$14,0)</f>
        <v>0</v>
      </c>
      <c r="J16" s="13" t="n">
        <f aca="false">$C16*IF($A16&lt;1,0,Inputs!$B$5*(1-Inputs!$B$10)^($A16-1)*Inputs!$B$7*(1+Inputs!$B$12)^($A16-1)*(1-IF($A16=Inputs!$B$15,Inputs!$B$17/12,0)))</f>
        <v>138079.49837752</v>
      </c>
      <c r="K16" s="13" t="n">
        <f aca="false">J16*Inputs!$B$18-F16-G16-H16-I16</f>
        <v>127579.49837752</v>
      </c>
      <c r="L16" s="13" t="n">
        <f aca="false">$C16*IF($A16=0,Inputs!$B$8*Inputs!$B$6*1000,0)</f>
        <v>0</v>
      </c>
      <c r="M16" s="13" t="n">
        <f aca="false">$C16*IF($A16&gt;=1,Inputs!$B$9*Inputs!$B$6,0)</f>
        <v>10500</v>
      </c>
      <c r="N16" s="13" t="n">
        <f aca="false">0</f>
        <v>0</v>
      </c>
      <c r="O16" s="13" t="n">
        <f aca="false">$C16*IF($A16=0,Inputs!$B$14,0)</f>
        <v>0</v>
      </c>
      <c r="P16" s="13" t="n">
        <f aca="false">$C16*IF($A16&lt;1,0,Inputs!$B$5*(1-Inputs!$B$10)^($A16-1)*Inputs!$B$7*(1+Inputs!$B$12)^($A16-1))</f>
        <v>138079.49837752</v>
      </c>
      <c r="Q16" s="13" t="n">
        <f aca="false">P16*Inputs!$B$18-L16-M16-N16-O16</f>
        <v>127579.49837752</v>
      </c>
      <c r="R16" s="13" t="n">
        <f aca="false">$C16*IF($A16=Inputs!$B$15,Inputs!$B$8*Inputs!$B$6*1000,0)</f>
        <v>0</v>
      </c>
      <c r="S16" s="13" t="n">
        <f aca="false">$C16*IF($A16&gt;Inputs!$B$15,Inputs!$B$9*Inputs!$B$6,0)</f>
        <v>10500</v>
      </c>
      <c r="T16" s="13" t="n">
        <f aca="false">0</f>
        <v>0</v>
      </c>
      <c r="U16" s="13" t="n">
        <f aca="false">$C16*IF($A16=Inputs!$B$15,Inputs!$B$14,0)</f>
        <v>0</v>
      </c>
      <c r="V16" s="13" t="n">
        <f aca="false">$C16*IF($A16&lt;=Inputs!$B$15,0,Inputs!$B$5*(1-Inputs!$B$10)^($A16-Inputs!$B$15-1)*Inputs!$B$7*(1+Inputs!$B$12)^($A16-1))</f>
        <v>141020.241850777</v>
      </c>
      <c r="W16" s="13" t="n">
        <f aca="false">V16*Inputs!$B$18-R16-S16-T16-U16</f>
        <v>130520.241850777</v>
      </c>
    </row>
    <row r="17" customFormat="false" ht="15" hidden="false" customHeight="false" outlineLevel="0" collapsed="false">
      <c r="A17" s="6" t="n">
        <v>12</v>
      </c>
      <c r="B17" s="35" t="n">
        <f aca="false">1/(1+Inputs!$B$11)^$A17</f>
        <v>0.454093167854515</v>
      </c>
      <c r="C17" s="36" t="n">
        <f aca="false">IF($A17&lt;=Inputs!$B$13,1,0)</f>
        <v>1</v>
      </c>
      <c r="D17" s="8" t="n">
        <f aca="false">$C17*IF($A17=Inputs!$B$15,Inputs!$B$14,0)</f>
        <v>0</v>
      </c>
      <c r="E17" s="13" t="n">
        <f aca="false">-D17</f>
        <v>-0</v>
      </c>
      <c r="F17" s="13" t="n">
        <f aca="false">$C17*IF($A17=0,Inputs!$B$8*Inputs!$B$6*1000,0)</f>
        <v>0</v>
      </c>
      <c r="G17" s="13" t="n">
        <f aca="false">$C17*IF($A17&gt;=1,Inputs!$B$9*Inputs!$B$6,0)</f>
        <v>10500</v>
      </c>
      <c r="H17" s="13" t="n">
        <f aca="false">$C17*IF($A17=Inputs!$B$15,Inputs!$B$16,0)</f>
        <v>0</v>
      </c>
      <c r="I17" s="13" t="n">
        <f aca="false">$C17*IF($A17=Inputs!$B$15,Inputs!$B$14,0)</f>
        <v>0</v>
      </c>
      <c r="J17" s="13" t="n">
        <f aca="false">$C17*IF($A17&lt;1,0,Inputs!$B$5*(1-Inputs!$B$10)^($A17-1)*Inputs!$B$7*(1+Inputs!$B$12)^($A17-1)*(1-IF($A17=Inputs!$B$15,Inputs!$B$17/12,0)))</f>
        <v>137112.941888877</v>
      </c>
      <c r="K17" s="13" t="n">
        <f aca="false">J17*Inputs!$B$18-F17-G17-H17-I17</f>
        <v>126612.941888877</v>
      </c>
      <c r="L17" s="13" t="n">
        <f aca="false">$C17*IF($A17=0,Inputs!$B$8*Inputs!$B$6*1000,0)</f>
        <v>0</v>
      </c>
      <c r="M17" s="13" t="n">
        <f aca="false">$C17*IF($A17&gt;=1,Inputs!$B$9*Inputs!$B$6,0)</f>
        <v>10500</v>
      </c>
      <c r="N17" s="13" t="n">
        <f aca="false">0</f>
        <v>0</v>
      </c>
      <c r="O17" s="13" t="n">
        <f aca="false">$C17*IF($A17=0,Inputs!$B$14,0)</f>
        <v>0</v>
      </c>
      <c r="P17" s="13" t="n">
        <f aca="false">$C17*IF($A17&lt;1,0,Inputs!$B$5*(1-Inputs!$B$10)^($A17-1)*Inputs!$B$7*(1+Inputs!$B$12)^($A17-1))</f>
        <v>137112.941888877</v>
      </c>
      <c r="Q17" s="13" t="n">
        <f aca="false">P17*Inputs!$B$18-L17-M17-N17-O17</f>
        <v>126612.941888877</v>
      </c>
      <c r="R17" s="13" t="n">
        <f aca="false">$C17*IF($A17=Inputs!$B$15,Inputs!$B$8*Inputs!$B$6*1000,0)</f>
        <v>0</v>
      </c>
      <c r="S17" s="13" t="n">
        <f aca="false">$C17*IF($A17&gt;Inputs!$B$15,Inputs!$B$9*Inputs!$B$6,0)</f>
        <v>10500</v>
      </c>
      <c r="T17" s="13" t="n">
        <f aca="false">0</f>
        <v>0</v>
      </c>
      <c r="U17" s="13" t="n">
        <f aca="false">$C17*IF($A17=Inputs!$B$15,Inputs!$B$14,0)</f>
        <v>0</v>
      </c>
      <c r="V17" s="13" t="n">
        <f aca="false">$C17*IF($A17&lt;=Inputs!$B$15,0,Inputs!$B$5*(1-Inputs!$B$10)^($A17-Inputs!$B$15-1)*Inputs!$B$7*(1+Inputs!$B$12)^($A17-1))</f>
        <v>140033.100157821</v>
      </c>
      <c r="W17" s="13" t="n">
        <f aca="false">V17*Inputs!$B$18-R17-S17-T17-U17</f>
        <v>129533.100157821</v>
      </c>
    </row>
    <row r="18" customFormat="false" ht="15" hidden="false" customHeight="false" outlineLevel="0" collapsed="false">
      <c r="A18" s="6" t="n">
        <v>13</v>
      </c>
      <c r="B18" s="35" t="n">
        <f aca="false">1/(1+Inputs!$B$11)^$A18</f>
        <v>0.425180868777636</v>
      </c>
      <c r="C18" s="36" t="n">
        <f aca="false">IF($A18&lt;=Inputs!$B$13,1,0)</f>
        <v>1</v>
      </c>
      <c r="D18" s="8" t="n">
        <f aca="false">$C18*IF($A18=Inputs!$B$15,Inputs!$B$14,0)</f>
        <v>0</v>
      </c>
      <c r="E18" s="13" t="n">
        <f aca="false">-D18</f>
        <v>-0</v>
      </c>
      <c r="F18" s="13" t="n">
        <f aca="false">$C18*IF($A18=0,Inputs!$B$8*Inputs!$B$6*1000,0)</f>
        <v>0</v>
      </c>
      <c r="G18" s="13" t="n">
        <f aca="false">$C18*IF($A18&gt;=1,Inputs!$B$9*Inputs!$B$6,0)</f>
        <v>10500</v>
      </c>
      <c r="H18" s="13" t="n">
        <f aca="false">$C18*IF($A18=Inputs!$B$15,Inputs!$B$16,0)</f>
        <v>0</v>
      </c>
      <c r="I18" s="13" t="n">
        <f aca="false">$C18*IF($A18=Inputs!$B$15,Inputs!$B$14,0)</f>
        <v>0</v>
      </c>
      <c r="J18" s="13" t="n">
        <f aca="false">$C18*IF($A18&lt;1,0,Inputs!$B$5*(1-Inputs!$B$10)^($A18-1)*Inputs!$B$7*(1+Inputs!$B$12)^($A18-1)*(1-IF($A18=Inputs!$B$15,Inputs!$B$17/12,0)))</f>
        <v>136153.151295655</v>
      </c>
      <c r="K18" s="13" t="n">
        <f aca="false">J18*Inputs!$B$18-F18-G18-H18-I18</f>
        <v>125653.151295655</v>
      </c>
      <c r="L18" s="13" t="n">
        <f aca="false">$C18*IF($A18=0,Inputs!$B$8*Inputs!$B$6*1000,0)</f>
        <v>0</v>
      </c>
      <c r="M18" s="13" t="n">
        <f aca="false">$C18*IF($A18&gt;=1,Inputs!$B$9*Inputs!$B$6,0)</f>
        <v>10500</v>
      </c>
      <c r="N18" s="13" t="n">
        <f aca="false">0</f>
        <v>0</v>
      </c>
      <c r="O18" s="13" t="n">
        <f aca="false">$C18*IF($A18=0,Inputs!$B$14,0)</f>
        <v>0</v>
      </c>
      <c r="P18" s="13" t="n">
        <f aca="false">$C18*IF($A18&lt;1,0,Inputs!$B$5*(1-Inputs!$B$10)^($A18-1)*Inputs!$B$7*(1+Inputs!$B$12)^($A18-1))</f>
        <v>136153.151295655</v>
      </c>
      <c r="Q18" s="13" t="n">
        <f aca="false">P18*Inputs!$B$18-L18-M18-N18-O18</f>
        <v>125653.151295655</v>
      </c>
      <c r="R18" s="13" t="n">
        <f aca="false">$C18*IF($A18=Inputs!$B$15,Inputs!$B$8*Inputs!$B$6*1000,0)</f>
        <v>0</v>
      </c>
      <c r="S18" s="13" t="n">
        <f aca="false">$C18*IF($A18&gt;Inputs!$B$15,Inputs!$B$9*Inputs!$B$6,0)</f>
        <v>10500</v>
      </c>
      <c r="T18" s="13" t="n">
        <f aca="false">0</f>
        <v>0</v>
      </c>
      <c r="U18" s="13" t="n">
        <f aca="false">$C18*IF($A18=Inputs!$B$15,Inputs!$B$14,0)</f>
        <v>0</v>
      </c>
      <c r="V18" s="13" t="n">
        <f aca="false">$C18*IF($A18&lt;=Inputs!$B$15,0,Inputs!$B$5*(1-Inputs!$B$10)^($A18-Inputs!$B$15-1)*Inputs!$B$7*(1+Inputs!$B$12)^($A18-1))</f>
        <v>139052.868456717</v>
      </c>
      <c r="W18" s="13" t="n">
        <f aca="false">V18*Inputs!$B$18-R18-S18-T18-U18</f>
        <v>128552.868456717</v>
      </c>
    </row>
    <row r="19" customFormat="false" ht="15" hidden="false" customHeight="false" outlineLevel="0" collapsed="false">
      <c r="A19" s="6" t="n">
        <v>14</v>
      </c>
      <c r="B19" s="35" t="n">
        <f aca="false">1/(1+Inputs!$B$11)^$A19</f>
        <v>0.398109427694416</v>
      </c>
      <c r="C19" s="36" t="n">
        <f aca="false">IF($A19&lt;=Inputs!$B$13,1,0)</f>
        <v>1</v>
      </c>
      <c r="D19" s="8" t="n">
        <f aca="false">$C19*IF($A19=Inputs!$B$15,Inputs!$B$14,0)</f>
        <v>0</v>
      </c>
      <c r="E19" s="13" t="n">
        <f aca="false">-D19</f>
        <v>-0</v>
      </c>
      <c r="F19" s="13" t="n">
        <f aca="false">$C19*IF($A19=0,Inputs!$B$8*Inputs!$B$6*1000,0)</f>
        <v>0</v>
      </c>
      <c r="G19" s="13" t="n">
        <f aca="false">$C19*IF($A19&gt;=1,Inputs!$B$9*Inputs!$B$6,0)</f>
        <v>10500</v>
      </c>
      <c r="H19" s="13" t="n">
        <f aca="false">$C19*IF($A19=Inputs!$B$15,Inputs!$B$16,0)</f>
        <v>0</v>
      </c>
      <c r="I19" s="13" t="n">
        <f aca="false">$C19*IF($A19=Inputs!$B$15,Inputs!$B$14,0)</f>
        <v>0</v>
      </c>
      <c r="J19" s="13" t="n">
        <f aca="false">$C19*IF($A19&lt;1,0,Inputs!$B$5*(1-Inputs!$B$10)^($A19-1)*Inputs!$B$7*(1+Inputs!$B$12)^($A19-1)*(1-IF($A19=Inputs!$B$15,Inputs!$B$17/12,0)))</f>
        <v>135200.079236585</v>
      </c>
      <c r="K19" s="13" t="n">
        <f aca="false">J19*Inputs!$B$18-F19-G19-H19-I19</f>
        <v>124700.079236585</v>
      </c>
      <c r="L19" s="13" t="n">
        <f aca="false">$C19*IF($A19=0,Inputs!$B$8*Inputs!$B$6*1000,0)</f>
        <v>0</v>
      </c>
      <c r="M19" s="13" t="n">
        <f aca="false">$C19*IF($A19&gt;=1,Inputs!$B$9*Inputs!$B$6,0)</f>
        <v>10500</v>
      </c>
      <c r="N19" s="13" t="n">
        <f aca="false">0</f>
        <v>0</v>
      </c>
      <c r="O19" s="13" t="n">
        <f aca="false">$C19*IF($A19=0,Inputs!$B$14,0)</f>
        <v>0</v>
      </c>
      <c r="P19" s="13" t="n">
        <f aca="false">$C19*IF($A19&lt;1,0,Inputs!$B$5*(1-Inputs!$B$10)^($A19-1)*Inputs!$B$7*(1+Inputs!$B$12)^($A19-1))</f>
        <v>135200.079236585</v>
      </c>
      <c r="Q19" s="13" t="n">
        <f aca="false">P19*Inputs!$B$18-L19-M19-N19-O19</f>
        <v>124700.079236585</v>
      </c>
      <c r="R19" s="13" t="n">
        <f aca="false">$C19*IF($A19=Inputs!$B$15,Inputs!$B$8*Inputs!$B$6*1000,0)</f>
        <v>0</v>
      </c>
      <c r="S19" s="13" t="n">
        <f aca="false">$C19*IF($A19&gt;Inputs!$B$15,Inputs!$B$9*Inputs!$B$6,0)</f>
        <v>10500</v>
      </c>
      <c r="T19" s="13" t="n">
        <f aca="false">0</f>
        <v>0</v>
      </c>
      <c r="U19" s="13" t="n">
        <f aca="false">$C19*IF($A19=Inputs!$B$15,Inputs!$B$14,0)</f>
        <v>0</v>
      </c>
      <c r="V19" s="13" t="n">
        <f aca="false">$C19*IF($A19&lt;=Inputs!$B$15,0,Inputs!$B$5*(1-Inputs!$B$10)^($A19-Inputs!$B$15-1)*Inputs!$B$7*(1+Inputs!$B$12)^($A19-1))</f>
        <v>138079.49837752</v>
      </c>
      <c r="W19" s="13" t="n">
        <f aca="false">V19*Inputs!$B$18-R19-S19-T19-U19</f>
        <v>127579.49837752</v>
      </c>
    </row>
    <row r="20" customFormat="false" ht="15" hidden="false" customHeight="false" outlineLevel="0" collapsed="false">
      <c r="A20" s="6" t="n">
        <v>15</v>
      </c>
      <c r="B20" s="35" t="n">
        <f aca="false">1/(1+Inputs!$B$11)^$A20</f>
        <v>0.372761636417992</v>
      </c>
      <c r="C20" s="36" t="n">
        <f aca="false">IF($A20&lt;=Inputs!$B$13,1,0)</f>
        <v>1</v>
      </c>
      <c r="D20" s="8" t="n">
        <f aca="false">$C20*IF($A20=Inputs!$B$15,Inputs!$B$14,0)</f>
        <v>0</v>
      </c>
      <c r="E20" s="13" t="n">
        <f aca="false">-D20</f>
        <v>-0</v>
      </c>
      <c r="F20" s="13" t="n">
        <f aca="false">$C20*IF($A20=0,Inputs!$B$8*Inputs!$B$6*1000,0)</f>
        <v>0</v>
      </c>
      <c r="G20" s="13" t="n">
        <f aca="false">$C20*IF($A20&gt;=1,Inputs!$B$9*Inputs!$B$6,0)</f>
        <v>10500</v>
      </c>
      <c r="H20" s="13" t="n">
        <f aca="false">$C20*IF($A20=Inputs!$B$15,Inputs!$B$16,0)</f>
        <v>0</v>
      </c>
      <c r="I20" s="13" t="n">
        <f aca="false">$C20*IF($A20=Inputs!$B$15,Inputs!$B$14,0)</f>
        <v>0</v>
      </c>
      <c r="J20" s="13" t="n">
        <f aca="false">$C20*IF($A20&lt;1,0,Inputs!$B$5*(1-Inputs!$B$10)^($A20-1)*Inputs!$B$7*(1+Inputs!$B$12)^($A20-1)*(1-IF($A20=Inputs!$B$15,Inputs!$B$17/12,0)))</f>
        <v>134253.678681929</v>
      </c>
      <c r="K20" s="13" t="n">
        <f aca="false">J20*Inputs!$B$18-F20-G20-H20-I20</f>
        <v>123753.678681929</v>
      </c>
      <c r="L20" s="13" t="n">
        <f aca="false">$C20*IF($A20=0,Inputs!$B$8*Inputs!$B$6*1000,0)</f>
        <v>0</v>
      </c>
      <c r="M20" s="13" t="n">
        <f aca="false">$C20*IF($A20&gt;=1,Inputs!$B$9*Inputs!$B$6,0)</f>
        <v>10500</v>
      </c>
      <c r="N20" s="13" t="n">
        <f aca="false">0</f>
        <v>0</v>
      </c>
      <c r="O20" s="13" t="n">
        <f aca="false">$C20*IF($A20=0,Inputs!$B$14,0)</f>
        <v>0</v>
      </c>
      <c r="P20" s="13" t="n">
        <f aca="false">$C20*IF($A20&lt;1,0,Inputs!$B$5*(1-Inputs!$B$10)^($A20-1)*Inputs!$B$7*(1+Inputs!$B$12)^($A20-1))</f>
        <v>134253.678681929</v>
      </c>
      <c r="Q20" s="13" t="n">
        <f aca="false">P20*Inputs!$B$18-L20-M20-N20-O20</f>
        <v>123753.678681929</v>
      </c>
      <c r="R20" s="13" t="n">
        <f aca="false">$C20*IF($A20=Inputs!$B$15,Inputs!$B$8*Inputs!$B$6*1000,0)</f>
        <v>0</v>
      </c>
      <c r="S20" s="13" t="n">
        <f aca="false">$C20*IF($A20&gt;Inputs!$B$15,Inputs!$B$9*Inputs!$B$6,0)</f>
        <v>10500</v>
      </c>
      <c r="T20" s="13" t="n">
        <f aca="false">0</f>
        <v>0</v>
      </c>
      <c r="U20" s="13" t="n">
        <f aca="false">$C20*IF($A20=Inputs!$B$15,Inputs!$B$14,0)</f>
        <v>0</v>
      </c>
      <c r="V20" s="13" t="n">
        <f aca="false">$C20*IF($A20&lt;=Inputs!$B$15,0,Inputs!$B$5*(1-Inputs!$B$10)^($A20-Inputs!$B$15-1)*Inputs!$B$7*(1+Inputs!$B$12)^($A20-1))</f>
        <v>137112.941888877</v>
      </c>
      <c r="W20" s="13" t="n">
        <f aca="false">V20*Inputs!$B$18-R20-S20-T20-U20</f>
        <v>126612.941888877</v>
      </c>
    </row>
    <row r="21" customFormat="false" ht="15" hidden="false" customHeight="false" outlineLevel="0" collapsed="false">
      <c r="A21" s="6" t="n">
        <v>16</v>
      </c>
      <c r="B21" s="35" t="n">
        <f aca="false">1/(1+Inputs!$B$11)^$A21</f>
        <v>0.349027749455049</v>
      </c>
      <c r="C21" s="36" t="n">
        <f aca="false">IF($A21&lt;=Inputs!$B$13,1,0)</f>
        <v>1</v>
      </c>
      <c r="D21" s="8" t="n">
        <f aca="false">$C21*IF($A21=Inputs!$B$15,Inputs!$B$14,0)</f>
        <v>0</v>
      </c>
      <c r="E21" s="13" t="n">
        <f aca="false">-D21</f>
        <v>-0</v>
      </c>
      <c r="F21" s="13" t="n">
        <f aca="false">$C21*IF($A21=0,Inputs!$B$8*Inputs!$B$6*1000,0)</f>
        <v>0</v>
      </c>
      <c r="G21" s="13" t="n">
        <f aca="false">$C21*IF($A21&gt;=1,Inputs!$B$9*Inputs!$B$6,0)</f>
        <v>10500</v>
      </c>
      <c r="H21" s="13" t="n">
        <f aca="false">$C21*IF($A21=Inputs!$B$15,Inputs!$B$16,0)</f>
        <v>0</v>
      </c>
      <c r="I21" s="13" t="n">
        <f aca="false">$C21*IF($A21=Inputs!$B$15,Inputs!$B$14,0)</f>
        <v>0</v>
      </c>
      <c r="J21" s="13" t="n">
        <f aca="false">$C21*IF($A21&lt;1,0,Inputs!$B$5*(1-Inputs!$B$10)^($A21-1)*Inputs!$B$7*(1+Inputs!$B$12)^($A21-1)*(1-IF($A21=Inputs!$B$15,Inputs!$B$17/12,0)))</f>
        <v>133313.902931156</v>
      </c>
      <c r="K21" s="13" t="n">
        <f aca="false">J21*Inputs!$B$18-F21-G21-H21-I21</f>
        <v>122813.902931156</v>
      </c>
      <c r="L21" s="13" t="n">
        <f aca="false">$C21*IF($A21=0,Inputs!$B$8*Inputs!$B$6*1000,0)</f>
        <v>0</v>
      </c>
      <c r="M21" s="13" t="n">
        <f aca="false">$C21*IF($A21&gt;=1,Inputs!$B$9*Inputs!$B$6,0)</f>
        <v>10500</v>
      </c>
      <c r="N21" s="13" t="n">
        <f aca="false">0</f>
        <v>0</v>
      </c>
      <c r="O21" s="13" t="n">
        <f aca="false">$C21*IF($A21=0,Inputs!$B$14,0)</f>
        <v>0</v>
      </c>
      <c r="P21" s="13" t="n">
        <f aca="false">$C21*IF($A21&lt;1,0,Inputs!$B$5*(1-Inputs!$B$10)^($A21-1)*Inputs!$B$7*(1+Inputs!$B$12)^($A21-1))</f>
        <v>133313.902931156</v>
      </c>
      <c r="Q21" s="13" t="n">
        <f aca="false">P21*Inputs!$B$18-L21-M21-N21-O21</f>
        <v>122813.902931156</v>
      </c>
      <c r="R21" s="13" t="n">
        <f aca="false">$C21*IF($A21=Inputs!$B$15,Inputs!$B$8*Inputs!$B$6*1000,0)</f>
        <v>0</v>
      </c>
      <c r="S21" s="13" t="n">
        <f aca="false">$C21*IF($A21&gt;Inputs!$B$15,Inputs!$B$9*Inputs!$B$6,0)</f>
        <v>10500</v>
      </c>
      <c r="T21" s="13" t="n">
        <f aca="false">0</f>
        <v>0</v>
      </c>
      <c r="U21" s="13" t="n">
        <f aca="false">$C21*IF($A21=Inputs!$B$15,Inputs!$B$14,0)</f>
        <v>0</v>
      </c>
      <c r="V21" s="13" t="n">
        <f aca="false">$C21*IF($A21&lt;=Inputs!$B$15,0,Inputs!$B$5*(1-Inputs!$B$10)^($A21-Inputs!$B$15-1)*Inputs!$B$7*(1+Inputs!$B$12)^($A21-1))</f>
        <v>136153.151295655</v>
      </c>
      <c r="W21" s="13" t="n">
        <f aca="false">V21*Inputs!$B$18-R21-S21-T21-U21</f>
        <v>125653.151295655</v>
      </c>
    </row>
    <row r="22" customFormat="false" ht="15" hidden="false" customHeight="false" outlineLevel="0" collapsed="false">
      <c r="A22" s="6" t="n">
        <v>17</v>
      </c>
      <c r="B22" s="35" t="n">
        <f aca="false">1/(1+Inputs!$B$11)^$A22</f>
        <v>0.326805008853042</v>
      </c>
      <c r="C22" s="36" t="n">
        <f aca="false">IF($A22&lt;=Inputs!$B$13,1,0)</f>
        <v>1</v>
      </c>
      <c r="D22" s="8" t="n">
        <f aca="false">$C22*IF($A22=Inputs!$B$15,Inputs!$B$14,0)</f>
        <v>0</v>
      </c>
      <c r="E22" s="13" t="n">
        <f aca="false">-D22</f>
        <v>-0</v>
      </c>
      <c r="F22" s="13" t="n">
        <f aca="false">$C22*IF($A22=0,Inputs!$B$8*Inputs!$B$6*1000,0)</f>
        <v>0</v>
      </c>
      <c r="G22" s="13" t="n">
        <f aca="false">$C22*IF($A22&gt;=1,Inputs!$B$9*Inputs!$B$6,0)</f>
        <v>10500</v>
      </c>
      <c r="H22" s="13" t="n">
        <f aca="false">$C22*IF($A22=Inputs!$B$15,Inputs!$B$16,0)</f>
        <v>0</v>
      </c>
      <c r="I22" s="13" t="n">
        <f aca="false">$C22*IF($A22=Inputs!$B$15,Inputs!$B$14,0)</f>
        <v>0</v>
      </c>
      <c r="J22" s="13" t="n">
        <f aca="false">$C22*IF($A22&lt;1,0,Inputs!$B$5*(1-Inputs!$B$10)^($A22-1)*Inputs!$B$7*(1+Inputs!$B$12)^($A22-1)*(1-IF($A22=Inputs!$B$15,Inputs!$B$17/12,0)))</f>
        <v>132380.705610638</v>
      </c>
      <c r="K22" s="13" t="n">
        <f aca="false">J22*Inputs!$B$18-F22-G22-H22-I22</f>
        <v>121880.705610638</v>
      </c>
      <c r="L22" s="13" t="n">
        <f aca="false">$C22*IF($A22=0,Inputs!$B$8*Inputs!$B$6*1000,0)</f>
        <v>0</v>
      </c>
      <c r="M22" s="13" t="n">
        <f aca="false">$C22*IF($A22&gt;=1,Inputs!$B$9*Inputs!$B$6,0)</f>
        <v>10500</v>
      </c>
      <c r="N22" s="13" t="n">
        <f aca="false">0</f>
        <v>0</v>
      </c>
      <c r="O22" s="13" t="n">
        <f aca="false">$C22*IF($A22=0,Inputs!$B$14,0)</f>
        <v>0</v>
      </c>
      <c r="P22" s="13" t="n">
        <f aca="false">$C22*IF($A22&lt;1,0,Inputs!$B$5*(1-Inputs!$B$10)^($A22-1)*Inputs!$B$7*(1+Inputs!$B$12)^($A22-1))</f>
        <v>132380.705610638</v>
      </c>
      <c r="Q22" s="13" t="n">
        <f aca="false">P22*Inputs!$B$18-L22-M22-N22-O22</f>
        <v>121880.705610638</v>
      </c>
      <c r="R22" s="13" t="n">
        <f aca="false">$C22*IF($A22=Inputs!$B$15,Inputs!$B$8*Inputs!$B$6*1000,0)</f>
        <v>0</v>
      </c>
      <c r="S22" s="13" t="n">
        <f aca="false">$C22*IF($A22&gt;Inputs!$B$15,Inputs!$B$9*Inputs!$B$6,0)</f>
        <v>10500</v>
      </c>
      <c r="T22" s="13" t="n">
        <f aca="false">0</f>
        <v>0</v>
      </c>
      <c r="U22" s="13" t="n">
        <f aca="false">$C22*IF($A22=Inputs!$B$15,Inputs!$B$14,0)</f>
        <v>0</v>
      </c>
      <c r="V22" s="13" t="n">
        <f aca="false">$C22*IF($A22&lt;=Inputs!$B$15,0,Inputs!$B$5*(1-Inputs!$B$10)^($A22-Inputs!$B$15-1)*Inputs!$B$7*(1+Inputs!$B$12)^($A22-1))</f>
        <v>135200.079236585</v>
      </c>
      <c r="W22" s="13" t="n">
        <f aca="false">V22*Inputs!$B$18-R22-S22-T22-U22</f>
        <v>124700.079236585</v>
      </c>
    </row>
    <row r="23" customFormat="false" ht="15" hidden="false" customHeight="false" outlineLevel="0" collapsed="false">
      <c r="A23" s="6" t="n">
        <v>18</v>
      </c>
      <c r="B23" s="35" t="n">
        <f aca="false">1/(1+Inputs!$B$11)^$A23</f>
        <v>0.305997199300601</v>
      </c>
      <c r="C23" s="36" t="n">
        <f aca="false">IF($A23&lt;=Inputs!$B$13,1,0)</f>
        <v>1</v>
      </c>
      <c r="D23" s="8" t="n">
        <f aca="false">$C23*IF($A23=Inputs!$B$15,Inputs!$B$14,0)</f>
        <v>0</v>
      </c>
      <c r="E23" s="13" t="n">
        <f aca="false">-D23</f>
        <v>-0</v>
      </c>
      <c r="F23" s="13" t="n">
        <f aca="false">$C23*IF($A23=0,Inputs!$B$8*Inputs!$B$6*1000,0)</f>
        <v>0</v>
      </c>
      <c r="G23" s="13" t="n">
        <f aca="false">$C23*IF($A23&gt;=1,Inputs!$B$9*Inputs!$B$6,0)</f>
        <v>10500</v>
      </c>
      <c r="H23" s="13" t="n">
        <f aca="false">$C23*IF($A23=Inputs!$B$15,Inputs!$B$16,0)</f>
        <v>0</v>
      </c>
      <c r="I23" s="13" t="n">
        <f aca="false">$C23*IF($A23=Inputs!$B$15,Inputs!$B$14,0)</f>
        <v>0</v>
      </c>
      <c r="J23" s="13" t="n">
        <f aca="false">$C23*IF($A23&lt;1,0,Inputs!$B$5*(1-Inputs!$B$10)^($A23-1)*Inputs!$B$7*(1+Inputs!$B$12)^($A23-1)*(1-IF($A23=Inputs!$B$15,Inputs!$B$17/12,0)))</f>
        <v>131454.040671363</v>
      </c>
      <c r="K23" s="13" t="n">
        <f aca="false">J23*Inputs!$B$18-F23-G23-H23-I23</f>
        <v>120954.040671363</v>
      </c>
      <c r="L23" s="13" t="n">
        <f aca="false">$C23*IF($A23=0,Inputs!$B$8*Inputs!$B$6*1000,0)</f>
        <v>0</v>
      </c>
      <c r="M23" s="13" t="n">
        <f aca="false">$C23*IF($A23&gt;=1,Inputs!$B$9*Inputs!$B$6,0)</f>
        <v>10500</v>
      </c>
      <c r="N23" s="13" t="n">
        <f aca="false">0</f>
        <v>0</v>
      </c>
      <c r="O23" s="13" t="n">
        <f aca="false">$C23*IF($A23=0,Inputs!$B$14,0)</f>
        <v>0</v>
      </c>
      <c r="P23" s="13" t="n">
        <f aca="false">$C23*IF($A23&lt;1,0,Inputs!$B$5*(1-Inputs!$B$10)^($A23-1)*Inputs!$B$7*(1+Inputs!$B$12)^($A23-1))</f>
        <v>131454.040671363</v>
      </c>
      <c r="Q23" s="13" t="n">
        <f aca="false">P23*Inputs!$B$18-L23-M23-N23-O23</f>
        <v>120954.040671363</v>
      </c>
      <c r="R23" s="13" t="n">
        <f aca="false">$C23*IF($A23=Inputs!$B$15,Inputs!$B$8*Inputs!$B$6*1000,0)</f>
        <v>0</v>
      </c>
      <c r="S23" s="13" t="n">
        <f aca="false">$C23*IF($A23&gt;Inputs!$B$15,Inputs!$B$9*Inputs!$B$6,0)</f>
        <v>10500</v>
      </c>
      <c r="T23" s="13" t="n">
        <f aca="false">0</f>
        <v>0</v>
      </c>
      <c r="U23" s="13" t="n">
        <f aca="false">$C23*IF($A23=Inputs!$B$15,Inputs!$B$14,0)</f>
        <v>0</v>
      </c>
      <c r="V23" s="13" t="n">
        <f aca="false">$C23*IF($A23&lt;=Inputs!$B$15,0,Inputs!$B$5*(1-Inputs!$B$10)^($A23-Inputs!$B$15-1)*Inputs!$B$7*(1+Inputs!$B$12)^($A23-1))</f>
        <v>134253.678681929</v>
      </c>
      <c r="W23" s="13" t="n">
        <f aca="false">V23*Inputs!$B$18-R23-S23-T23-U23</f>
        <v>123753.678681929</v>
      </c>
    </row>
    <row r="24" customFormat="false" ht="15" hidden="false" customHeight="false" outlineLevel="0" collapsed="false">
      <c r="A24" s="6" t="n">
        <v>19</v>
      </c>
      <c r="B24" s="35" t="n">
        <f aca="false">1/(1+Inputs!$B$11)^$A24</f>
        <v>0.28651423155487</v>
      </c>
      <c r="C24" s="36" t="n">
        <f aca="false">IF($A24&lt;=Inputs!$B$13,1,0)</f>
        <v>1</v>
      </c>
      <c r="D24" s="8" t="n">
        <f aca="false">$C24*IF($A24=Inputs!$B$15,Inputs!$B$14,0)</f>
        <v>0</v>
      </c>
      <c r="E24" s="13" t="n">
        <f aca="false">-D24</f>
        <v>-0</v>
      </c>
      <c r="F24" s="13" t="n">
        <f aca="false">$C24*IF($A24=0,Inputs!$B$8*Inputs!$B$6*1000,0)</f>
        <v>0</v>
      </c>
      <c r="G24" s="13" t="n">
        <f aca="false">$C24*IF($A24&gt;=1,Inputs!$B$9*Inputs!$B$6,0)</f>
        <v>10500</v>
      </c>
      <c r="H24" s="13" t="n">
        <f aca="false">$C24*IF($A24=Inputs!$B$15,Inputs!$B$16,0)</f>
        <v>0</v>
      </c>
      <c r="I24" s="13" t="n">
        <f aca="false">$C24*IF($A24=Inputs!$B$15,Inputs!$B$14,0)</f>
        <v>0</v>
      </c>
      <c r="J24" s="13" t="n">
        <f aca="false">$C24*IF($A24&lt;1,0,Inputs!$B$5*(1-Inputs!$B$10)^($A24-1)*Inputs!$B$7*(1+Inputs!$B$12)^($A24-1)*(1-IF($A24=Inputs!$B$15,Inputs!$B$17/12,0)))</f>
        <v>130533.862386664</v>
      </c>
      <c r="K24" s="13" t="n">
        <f aca="false">J24*Inputs!$B$18-F24-G24-H24-I24</f>
        <v>120033.862386664</v>
      </c>
      <c r="L24" s="13" t="n">
        <f aca="false">$C24*IF($A24=0,Inputs!$B$8*Inputs!$B$6*1000,0)</f>
        <v>0</v>
      </c>
      <c r="M24" s="13" t="n">
        <f aca="false">$C24*IF($A24&gt;=1,Inputs!$B$9*Inputs!$B$6,0)</f>
        <v>10500</v>
      </c>
      <c r="N24" s="13" t="n">
        <f aca="false">0</f>
        <v>0</v>
      </c>
      <c r="O24" s="13" t="n">
        <f aca="false">$C24*IF($A24=0,Inputs!$B$14,0)</f>
        <v>0</v>
      </c>
      <c r="P24" s="13" t="n">
        <f aca="false">$C24*IF($A24&lt;1,0,Inputs!$B$5*(1-Inputs!$B$10)^($A24-1)*Inputs!$B$7*(1+Inputs!$B$12)^($A24-1))</f>
        <v>130533.862386664</v>
      </c>
      <c r="Q24" s="13" t="n">
        <f aca="false">P24*Inputs!$B$18-L24-M24-N24-O24</f>
        <v>120033.862386664</v>
      </c>
      <c r="R24" s="13" t="n">
        <f aca="false">$C24*IF($A24=Inputs!$B$15,Inputs!$B$8*Inputs!$B$6*1000,0)</f>
        <v>0</v>
      </c>
      <c r="S24" s="13" t="n">
        <f aca="false">$C24*IF($A24&gt;Inputs!$B$15,Inputs!$B$9*Inputs!$B$6,0)</f>
        <v>10500</v>
      </c>
      <c r="T24" s="13" t="n">
        <f aca="false">0</f>
        <v>0</v>
      </c>
      <c r="U24" s="13" t="n">
        <f aca="false">$C24*IF($A24=Inputs!$B$15,Inputs!$B$14,0)</f>
        <v>0</v>
      </c>
      <c r="V24" s="13" t="n">
        <f aca="false">$C24*IF($A24&lt;=Inputs!$B$15,0,Inputs!$B$5*(1-Inputs!$B$10)^($A24-Inputs!$B$15-1)*Inputs!$B$7*(1+Inputs!$B$12)^($A24-1))</f>
        <v>133313.902931156</v>
      </c>
      <c r="W24" s="13" t="n">
        <f aca="false">V24*Inputs!$B$18-R24-S24-T24-U24</f>
        <v>122813.902931156</v>
      </c>
    </row>
    <row r="25" customFormat="false" ht="15" hidden="false" customHeight="false" outlineLevel="0" collapsed="false">
      <c r="A25" s="6" t="n">
        <v>20</v>
      </c>
      <c r="B25" s="35" t="n">
        <f aca="false">1/(1+Inputs!$B$11)^$A25</f>
        <v>0.2682717523922</v>
      </c>
      <c r="C25" s="36" t="n">
        <f aca="false">IF($A25&lt;=Inputs!$B$13,1,0)</f>
        <v>1</v>
      </c>
      <c r="D25" s="8" t="n">
        <f aca="false">$C25*IF($A25=Inputs!$B$15,Inputs!$B$14,0)</f>
        <v>0</v>
      </c>
      <c r="E25" s="13" t="n">
        <f aca="false">-D25</f>
        <v>-0</v>
      </c>
      <c r="F25" s="13" t="n">
        <f aca="false">$C25*IF($A25=0,Inputs!$B$8*Inputs!$B$6*1000,0)</f>
        <v>0</v>
      </c>
      <c r="G25" s="13" t="n">
        <f aca="false">$C25*IF($A25&gt;=1,Inputs!$B$9*Inputs!$B$6,0)</f>
        <v>10500</v>
      </c>
      <c r="H25" s="13" t="n">
        <f aca="false">$C25*IF($A25=Inputs!$B$15,Inputs!$B$16,0)</f>
        <v>0</v>
      </c>
      <c r="I25" s="13" t="n">
        <f aca="false">$C25*IF($A25=Inputs!$B$15,Inputs!$B$14,0)</f>
        <v>0</v>
      </c>
      <c r="J25" s="13" t="n">
        <f aca="false">$C25*IF($A25&lt;1,0,Inputs!$B$5*(1-Inputs!$B$10)^($A25-1)*Inputs!$B$7*(1+Inputs!$B$12)^($A25-1)*(1-IF($A25=Inputs!$B$15,Inputs!$B$17/12,0)))</f>
        <v>129620.125349957</v>
      </c>
      <c r="K25" s="13" t="n">
        <f aca="false">J25*Inputs!$B$18-F25-G25-H25-I25</f>
        <v>119120.125349957</v>
      </c>
      <c r="L25" s="13" t="n">
        <f aca="false">$C25*IF($A25=0,Inputs!$B$8*Inputs!$B$6*1000,0)</f>
        <v>0</v>
      </c>
      <c r="M25" s="13" t="n">
        <f aca="false">$C25*IF($A25&gt;=1,Inputs!$B$9*Inputs!$B$6,0)</f>
        <v>10500</v>
      </c>
      <c r="N25" s="13" t="n">
        <f aca="false">0</f>
        <v>0</v>
      </c>
      <c r="O25" s="13" t="n">
        <f aca="false">$C25*IF($A25=0,Inputs!$B$14,0)</f>
        <v>0</v>
      </c>
      <c r="P25" s="13" t="n">
        <f aca="false">$C25*IF($A25&lt;1,0,Inputs!$B$5*(1-Inputs!$B$10)^($A25-1)*Inputs!$B$7*(1+Inputs!$B$12)^($A25-1))</f>
        <v>129620.125349957</v>
      </c>
      <c r="Q25" s="13" t="n">
        <f aca="false">P25*Inputs!$B$18-L25-M25-N25-O25</f>
        <v>119120.125349957</v>
      </c>
      <c r="R25" s="13" t="n">
        <f aca="false">$C25*IF($A25=Inputs!$B$15,Inputs!$B$8*Inputs!$B$6*1000,0)</f>
        <v>0</v>
      </c>
      <c r="S25" s="13" t="n">
        <f aca="false">$C25*IF($A25&gt;Inputs!$B$15,Inputs!$B$9*Inputs!$B$6,0)</f>
        <v>10500</v>
      </c>
      <c r="T25" s="13" t="n">
        <f aca="false">0</f>
        <v>0</v>
      </c>
      <c r="U25" s="13" t="n">
        <f aca="false">$C25*IF($A25=Inputs!$B$15,Inputs!$B$14,0)</f>
        <v>0</v>
      </c>
      <c r="V25" s="13" t="n">
        <f aca="false">$C25*IF($A25&lt;=Inputs!$B$15,0,Inputs!$B$5*(1-Inputs!$B$10)^($A25-Inputs!$B$15-1)*Inputs!$B$7*(1+Inputs!$B$12)^($A25-1))</f>
        <v>132380.705610638</v>
      </c>
      <c r="W25" s="13" t="n">
        <f aca="false">V25*Inputs!$B$18-R25-S25-T25-U25</f>
        <v>121880.705610638</v>
      </c>
    </row>
    <row r="26" customFormat="false" ht="15" hidden="false" customHeight="false" outlineLevel="0" collapsed="false">
      <c r="A26" s="6" t="n">
        <v>21</v>
      </c>
      <c r="B26" s="35" t="n">
        <f aca="false">1/(1+Inputs!$B$11)^$A26</f>
        <v>0.251190779393446</v>
      </c>
      <c r="C26" s="36" t="n">
        <f aca="false">IF($A26&lt;=Inputs!$B$13,1,0)</f>
        <v>1</v>
      </c>
      <c r="D26" s="8" t="n">
        <f aca="false">$C26*IF($A26=Inputs!$B$15,Inputs!$B$14,0)</f>
        <v>0</v>
      </c>
      <c r="E26" s="13" t="n">
        <f aca="false">-D26</f>
        <v>-0</v>
      </c>
      <c r="F26" s="13" t="n">
        <f aca="false">$C26*IF($A26=0,Inputs!$B$8*Inputs!$B$6*1000,0)</f>
        <v>0</v>
      </c>
      <c r="G26" s="13" t="n">
        <f aca="false">$C26*IF($A26&gt;=1,Inputs!$B$9*Inputs!$B$6,0)</f>
        <v>10500</v>
      </c>
      <c r="H26" s="13" t="n">
        <f aca="false">$C26*IF($A26=Inputs!$B$15,Inputs!$B$16,0)</f>
        <v>0</v>
      </c>
      <c r="I26" s="13" t="n">
        <f aca="false">$C26*IF($A26=Inputs!$B$15,Inputs!$B$14,0)</f>
        <v>0</v>
      </c>
      <c r="J26" s="13" t="n">
        <f aca="false">$C26*IF($A26&lt;1,0,Inputs!$B$5*(1-Inputs!$B$10)^($A26-1)*Inputs!$B$7*(1+Inputs!$B$12)^($A26-1)*(1-IF($A26=Inputs!$B$15,Inputs!$B$17/12,0)))</f>
        <v>128712.784472507</v>
      </c>
      <c r="K26" s="13" t="n">
        <f aca="false">J26*Inputs!$B$18-F26-G26-H26-I26</f>
        <v>118212.784472507</v>
      </c>
      <c r="L26" s="13" t="n">
        <f aca="false">$C26*IF($A26=0,Inputs!$B$8*Inputs!$B$6*1000,0)</f>
        <v>0</v>
      </c>
      <c r="M26" s="13" t="n">
        <f aca="false">$C26*IF($A26&gt;=1,Inputs!$B$9*Inputs!$B$6,0)</f>
        <v>10500</v>
      </c>
      <c r="N26" s="13" t="n">
        <f aca="false">0</f>
        <v>0</v>
      </c>
      <c r="O26" s="13" t="n">
        <f aca="false">$C26*IF($A26=0,Inputs!$B$14,0)</f>
        <v>0</v>
      </c>
      <c r="P26" s="13" t="n">
        <f aca="false">$C26*IF($A26&lt;1,0,Inputs!$B$5*(1-Inputs!$B$10)^($A26-1)*Inputs!$B$7*(1+Inputs!$B$12)^($A26-1))</f>
        <v>128712.784472507</v>
      </c>
      <c r="Q26" s="13" t="n">
        <f aca="false">P26*Inputs!$B$18-L26-M26-N26-O26</f>
        <v>118212.784472507</v>
      </c>
      <c r="R26" s="13" t="n">
        <f aca="false">$C26*IF($A26=Inputs!$B$15,Inputs!$B$8*Inputs!$B$6*1000,0)</f>
        <v>0</v>
      </c>
      <c r="S26" s="13" t="n">
        <f aca="false">$C26*IF($A26&gt;Inputs!$B$15,Inputs!$B$9*Inputs!$B$6,0)</f>
        <v>10500</v>
      </c>
      <c r="T26" s="13" t="n">
        <f aca="false">0</f>
        <v>0</v>
      </c>
      <c r="U26" s="13" t="n">
        <f aca="false">$C26*IF($A26=Inputs!$B$15,Inputs!$B$14,0)</f>
        <v>0</v>
      </c>
      <c r="V26" s="13" t="n">
        <f aca="false">$C26*IF($A26&lt;=Inputs!$B$15,0,Inputs!$B$5*(1-Inputs!$B$10)^($A26-Inputs!$B$15-1)*Inputs!$B$7*(1+Inputs!$B$12)^($A26-1))</f>
        <v>131454.040671363</v>
      </c>
      <c r="W26" s="13" t="n">
        <f aca="false">V26*Inputs!$B$18-R26-S26-T26-U26</f>
        <v>120954.040671363</v>
      </c>
    </row>
    <row r="27" customFormat="false" ht="15" hidden="false" customHeight="false" outlineLevel="0" collapsed="false">
      <c r="A27" s="6" t="n">
        <v>22</v>
      </c>
      <c r="B27" s="35" t="n">
        <f aca="false">1/(1+Inputs!$B$11)^$A27</f>
        <v>0.235197358982627</v>
      </c>
      <c r="C27" s="36" t="n">
        <f aca="false">IF($A27&lt;=Inputs!$B$13,1,0)</f>
        <v>1</v>
      </c>
      <c r="D27" s="8" t="n">
        <f aca="false">$C27*IF($A27=Inputs!$B$15,Inputs!$B$14,0)</f>
        <v>0</v>
      </c>
      <c r="E27" s="13" t="n">
        <f aca="false">-D27</f>
        <v>-0</v>
      </c>
      <c r="F27" s="13" t="n">
        <f aca="false">$C27*IF($A27=0,Inputs!$B$8*Inputs!$B$6*1000,0)</f>
        <v>0</v>
      </c>
      <c r="G27" s="13" t="n">
        <f aca="false">$C27*IF($A27&gt;=1,Inputs!$B$9*Inputs!$B$6,0)</f>
        <v>10500</v>
      </c>
      <c r="H27" s="13" t="n">
        <f aca="false">$C27*IF($A27=Inputs!$B$15,Inputs!$B$16,0)</f>
        <v>0</v>
      </c>
      <c r="I27" s="13" t="n">
        <f aca="false">$C27*IF($A27=Inputs!$B$15,Inputs!$B$14,0)</f>
        <v>0</v>
      </c>
      <c r="J27" s="13" t="n">
        <f aca="false">$C27*IF($A27&lt;1,0,Inputs!$B$5*(1-Inputs!$B$10)^($A27-1)*Inputs!$B$7*(1+Inputs!$B$12)^($A27-1)*(1-IF($A27=Inputs!$B$15,Inputs!$B$17/12,0)))</f>
        <v>127811.7949812</v>
      </c>
      <c r="K27" s="13" t="n">
        <f aca="false">J27*Inputs!$B$18-F27-G27-H27-I27</f>
        <v>117311.7949812</v>
      </c>
      <c r="L27" s="13" t="n">
        <f aca="false">$C27*IF($A27=0,Inputs!$B$8*Inputs!$B$6*1000,0)</f>
        <v>0</v>
      </c>
      <c r="M27" s="13" t="n">
        <f aca="false">$C27*IF($A27&gt;=1,Inputs!$B$9*Inputs!$B$6,0)</f>
        <v>10500</v>
      </c>
      <c r="N27" s="13" t="n">
        <f aca="false">0</f>
        <v>0</v>
      </c>
      <c r="O27" s="13" t="n">
        <f aca="false">$C27*IF($A27=0,Inputs!$B$14,0)</f>
        <v>0</v>
      </c>
      <c r="P27" s="13" t="n">
        <f aca="false">$C27*IF($A27&lt;1,0,Inputs!$B$5*(1-Inputs!$B$10)^($A27-1)*Inputs!$B$7*(1+Inputs!$B$12)^($A27-1))</f>
        <v>127811.7949812</v>
      </c>
      <c r="Q27" s="13" t="n">
        <f aca="false">P27*Inputs!$B$18-L27-M27-N27-O27</f>
        <v>117311.7949812</v>
      </c>
      <c r="R27" s="13" t="n">
        <f aca="false">$C27*IF($A27=Inputs!$B$15,Inputs!$B$8*Inputs!$B$6*1000,0)</f>
        <v>0</v>
      </c>
      <c r="S27" s="13" t="n">
        <f aca="false">$C27*IF($A27&gt;Inputs!$B$15,Inputs!$B$9*Inputs!$B$6,0)</f>
        <v>10500</v>
      </c>
      <c r="T27" s="13" t="n">
        <f aca="false">0</f>
        <v>0</v>
      </c>
      <c r="U27" s="13" t="n">
        <f aca="false">$C27*IF($A27=Inputs!$B$15,Inputs!$B$14,0)</f>
        <v>0</v>
      </c>
      <c r="V27" s="13" t="n">
        <f aca="false">$C27*IF($A27&lt;=Inputs!$B$15,0,Inputs!$B$5*(1-Inputs!$B$10)^($A27-Inputs!$B$15-1)*Inputs!$B$7*(1+Inputs!$B$12)^($A27-1))</f>
        <v>130533.862386664</v>
      </c>
      <c r="W27" s="13" t="n">
        <f aca="false">V27*Inputs!$B$18-R27-S27-T27-U27</f>
        <v>120033.862386664</v>
      </c>
    </row>
    <row r="28" customFormat="false" ht="15" hidden="false" customHeight="false" outlineLevel="0" collapsed="false">
      <c r="A28" s="6" t="n">
        <v>23</v>
      </c>
      <c r="B28" s="35" t="n">
        <f aca="false">1/(1+Inputs!$B$11)^$A28</f>
        <v>0.220222246238415</v>
      </c>
      <c r="C28" s="36" t="n">
        <f aca="false">IF($A28&lt;=Inputs!$B$13,1,0)</f>
        <v>1</v>
      </c>
      <c r="D28" s="8" t="n">
        <f aca="false">$C28*IF($A28=Inputs!$B$15,Inputs!$B$14,0)</f>
        <v>0</v>
      </c>
      <c r="E28" s="13" t="n">
        <f aca="false">-D28</f>
        <v>-0</v>
      </c>
      <c r="F28" s="13" t="n">
        <f aca="false">$C28*IF($A28=0,Inputs!$B$8*Inputs!$B$6*1000,0)</f>
        <v>0</v>
      </c>
      <c r="G28" s="13" t="n">
        <f aca="false">$C28*IF($A28&gt;=1,Inputs!$B$9*Inputs!$B$6,0)</f>
        <v>10500</v>
      </c>
      <c r="H28" s="13" t="n">
        <f aca="false">$C28*IF($A28=Inputs!$B$15,Inputs!$B$16,0)</f>
        <v>0</v>
      </c>
      <c r="I28" s="13" t="n">
        <f aca="false">$C28*IF($A28=Inputs!$B$15,Inputs!$B$14,0)</f>
        <v>0</v>
      </c>
      <c r="J28" s="13" t="n">
        <f aca="false">$C28*IF($A28&lt;1,0,Inputs!$B$5*(1-Inputs!$B$10)^($A28-1)*Inputs!$B$7*(1+Inputs!$B$12)^($A28-1)*(1-IF($A28=Inputs!$B$15,Inputs!$B$17/12,0)))</f>
        <v>126917.112416331</v>
      </c>
      <c r="K28" s="13" t="n">
        <f aca="false">J28*Inputs!$B$18-F28-G28-H28-I28</f>
        <v>116417.112416331</v>
      </c>
      <c r="L28" s="13" t="n">
        <f aca="false">$C28*IF($A28=0,Inputs!$B$8*Inputs!$B$6*1000,0)</f>
        <v>0</v>
      </c>
      <c r="M28" s="13" t="n">
        <f aca="false">$C28*IF($A28&gt;=1,Inputs!$B$9*Inputs!$B$6,0)</f>
        <v>10500</v>
      </c>
      <c r="N28" s="13" t="n">
        <f aca="false">0</f>
        <v>0</v>
      </c>
      <c r="O28" s="13" t="n">
        <f aca="false">$C28*IF($A28=0,Inputs!$B$14,0)</f>
        <v>0</v>
      </c>
      <c r="P28" s="13" t="n">
        <f aca="false">$C28*IF($A28&lt;1,0,Inputs!$B$5*(1-Inputs!$B$10)^($A28-1)*Inputs!$B$7*(1+Inputs!$B$12)^($A28-1))</f>
        <v>126917.112416331</v>
      </c>
      <c r="Q28" s="13" t="n">
        <f aca="false">P28*Inputs!$B$18-L28-M28-N28-O28</f>
        <v>116417.112416331</v>
      </c>
      <c r="R28" s="13" t="n">
        <f aca="false">$C28*IF($A28=Inputs!$B$15,Inputs!$B$8*Inputs!$B$6*1000,0)</f>
        <v>0</v>
      </c>
      <c r="S28" s="13" t="n">
        <f aca="false">$C28*IF($A28&gt;Inputs!$B$15,Inputs!$B$9*Inputs!$B$6,0)</f>
        <v>10500</v>
      </c>
      <c r="T28" s="13" t="n">
        <f aca="false">0</f>
        <v>0</v>
      </c>
      <c r="U28" s="13" t="n">
        <f aca="false">$C28*IF($A28=Inputs!$B$15,Inputs!$B$14,0)</f>
        <v>0</v>
      </c>
      <c r="V28" s="13" t="n">
        <f aca="false">$C28*IF($A28&lt;=Inputs!$B$15,0,Inputs!$B$5*(1-Inputs!$B$10)^($A28-Inputs!$B$15-1)*Inputs!$B$7*(1+Inputs!$B$12)^($A28-1))</f>
        <v>129620.125349957</v>
      </c>
      <c r="W28" s="13" t="n">
        <f aca="false">V28*Inputs!$B$18-R28-S28-T28-U28</f>
        <v>119120.125349957</v>
      </c>
    </row>
    <row r="29" customFormat="false" ht="15" hidden="false" customHeight="false" outlineLevel="0" collapsed="false">
      <c r="A29" s="6" t="n">
        <v>24</v>
      </c>
      <c r="B29" s="35" t="n">
        <f aca="false">1/(1+Inputs!$B$11)^$A29</f>
        <v>0.206200605092149</v>
      </c>
      <c r="C29" s="36" t="n">
        <f aca="false">IF($A29&lt;=Inputs!$B$13,1,0)</f>
        <v>1</v>
      </c>
      <c r="D29" s="8" t="n">
        <f aca="false">$C29*IF($A29=Inputs!$B$15,Inputs!$B$14,0)</f>
        <v>0</v>
      </c>
      <c r="E29" s="13" t="n">
        <f aca="false">-D29</f>
        <v>-0</v>
      </c>
      <c r="F29" s="13" t="n">
        <f aca="false">$C29*IF($A29=0,Inputs!$B$8*Inputs!$B$6*1000,0)</f>
        <v>0</v>
      </c>
      <c r="G29" s="13" t="n">
        <f aca="false">$C29*IF($A29&gt;=1,Inputs!$B$9*Inputs!$B$6,0)</f>
        <v>10500</v>
      </c>
      <c r="H29" s="13" t="n">
        <f aca="false">$C29*IF($A29=Inputs!$B$15,Inputs!$B$16,0)</f>
        <v>0</v>
      </c>
      <c r="I29" s="13" t="n">
        <f aca="false">$C29*IF($A29=Inputs!$B$15,Inputs!$B$14,0)</f>
        <v>0</v>
      </c>
      <c r="J29" s="13" t="n">
        <f aca="false">$C29*IF($A29&lt;1,0,Inputs!$B$5*(1-Inputs!$B$10)^($A29-1)*Inputs!$B$7*(1+Inputs!$B$12)^($A29-1)*(1-IF($A29=Inputs!$B$15,Inputs!$B$17/12,0)))</f>
        <v>126028.692629417</v>
      </c>
      <c r="K29" s="13" t="n">
        <f aca="false">J29*Inputs!$B$18-F29-G29-H29-I29</f>
        <v>115528.692629417</v>
      </c>
      <c r="L29" s="13" t="n">
        <f aca="false">$C29*IF($A29=0,Inputs!$B$8*Inputs!$B$6*1000,0)</f>
        <v>0</v>
      </c>
      <c r="M29" s="13" t="n">
        <f aca="false">$C29*IF($A29&gt;=1,Inputs!$B$9*Inputs!$B$6,0)</f>
        <v>10500</v>
      </c>
      <c r="N29" s="13" t="n">
        <f aca="false">0</f>
        <v>0</v>
      </c>
      <c r="O29" s="13" t="n">
        <f aca="false">$C29*IF($A29=0,Inputs!$B$14,0)</f>
        <v>0</v>
      </c>
      <c r="P29" s="13" t="n">
        <f aca="false">$C29*IF($A29&lt;1,0,Inputs!$B$5*(1-Inputs!$B$10)^($A29-1)*Inputs!$B$7*(1+Inputs!$B$12)^($A29-1))</f>
        <v>126028.692629417</v>
      </c>
      <c r="Q29" s="13" t="n">
        <f aca="false">P29*Inputs!$B$18-L29-M29-N29-O29</f>
        <v>115528.692629417</v>
      </c>
      <c r="R29" s="13" t="n">
        <f aca="false">$C29*IF($A29=Inputs!$B$15,Inputs!$B$8*Inputs!$B$6*1000,0)</f>
        <v>0</v>
      </c>
      <c r="S29" s="13" t="n">
        <f aca="false">$C29*IF($A29&gt;Inputs!$B$15,Inputs!$B$9*Inputs!$B$6,0)</f>
        <v>10500</v>
      </c>
      <c r="T29" s="13" t="n">
        <f aca="false">0</f>
        <v>0</v>
      </c>
      <c r="U29" s="13" t="n">
        <f aca="false">$C29*IF($A29=Inputs!$B$15,Inputs!$B$14,0)</f>
        <v>0</v>
      </c>
      <c r="V29" s="13" t="n">
        <f aca="false">$C29*IF($A29&lt;=Inputs!$B$15,0,Inputs!$B$5*(1-Inputs!$B$10)^($A29-Inputs!$B$15-1)*Inputs!$B$7*(1+Inputs!$B$12)^($A29-1))</f>
        <v>128712.784472507</v>
      </c>
      <c r="W29" s="13" t="n">
        <f aca="false">V29*Inputs!$B$18-R29-S29-T29-U29</f>
        <v>118212.784472507</v>
      </c>
    </row>
    <row r="30" customFormat="false" ht="15" hidden="false" customHeight="false" outlineLevel="0" collapsed="false">
      <c r="A30" s="6" t="n">
        <v>25</v>
      </c>
      <c r="B30" s="35" t="n">
        <f aca="false">1/(1+Inputs!$B$11)^$A30</f>
        <v>0.193071727614372</v>
      </c>
      <c r="C30" s="36" t="n">
        <f aca="false">IF($A30&lt;=Inputs!$B$13,1,0)</f>
        <v>1</v>
      </c>
      <c r="D30" s="8" t="n">
        <f aca="false">$C30*IF($A30=Inputs!$B$15,Inputs!$B$14,0)</f>
        <v>0</v>
      </c>
      <c r="E30" s="13" t="n">
        <f aca="false">-D30</f>
        <v>-0</v>
      </c>
      <c r="F30" s="13" t="n">
        <f aca="false">$C30*IF($A30=0,Inputs!$B$8*Inputs!$B$6*1000,0)</f>
        <v>0</v>
      </c>
      <c r="G30" s="13" t="n">
        <f aca="false">$C30*IF($A30&gt;=1,Inputs!$B$9*Inputs!$B$6,0)</f>
        <v>10500</v>
      </c>
      <c r="H30" s="13" t="n">
        <f aca="false">$C30*IF($A30=Inputs!$B$15,Inputs!$B$16,0)</f>
        <v>0</v>
      </c>
      <c r="I30" s="13" t="n">
        <f aca="false">$C30*IF($A30=Inputs!$B$15,Inputs!$B$14,0)</f>
        <v>0</v>
      </c>
      <c r="J30" s="13" t="n">
        <f aca="false">$C30*IF($A30&lt;1,0,Inputs!$B$5*(1-Inputs!$B$10)^($A30-1)*Inputs!$B$7*(1+Inputs!$B$12)^($A30-1)*(1-IF($A30=Inputs!$B$15,Inputs!$B$17/12,0)))</f>
        <v>125146.491781011</v>
      </c>
      <c r="K30" s="13" t="n">
        <f aca="false">J30*Inputs!$B$18-F30-G30-H30-I30</f>
        <v>114646.491781011</v>
      </c>
      <c r="L30" s="13" t="n">
        <f aca="false">$C30*IF($A30=0,Inputs!$B$8*Inputs!$B$6*1000,0)</f>
        <v>0</v>
      </c>
      <c r="M30" s="13" t="n">
        <f aca="false">$C30*IF($A30&gt;=1,Inputs!$B$9*Inputs!$B$6,0)</f>
        <v>10500</v>
      </c>
      <c r="N30" s="13" t="n">
        <f aca="false">0</f>
        <v>0</v>
      </c>
      <c r="O30" s="13" t="n">
        <f aca="false">$C30*IF($A30=0,Inputs!$B$14,0)</f>
        <v>0</v>
      </c>
      <c r="P30" s="13" t="n">
        <f aca="false">$C30*IF($A30&lt;1,0,Inputs!$B$5*(1-Inputs!$B$10)^($A30-1)*Inputs!$B$7*(1+Inputs!$B$12)^($A30-1))</f>
        <v>125146.491781011</v>
      </c>
      <c r="Q30" s="13" t="n">
        <f aca="false">P30*Inputs!$B$18-L30-M30-N30-O30</f>
        <v>114646.491781011</v>
      </c>
      <c r="R30" s="13" t="n">
        <f aca="false">$C30*IF($A30=Inputs!$B$15,Inputs!$B$8*Inputs!$B$6*1000,0)</f>
        <v>0</v>
      </c>
      <c r="S30" s="13" t="n">
        <f aca="false">$C30*IF($A30&gt;Inputs!$B$15,Inputs!$B$9*Inputs!$B$6,0)</f>
        <v>10500</v>
      </c>
      <c r="T30" s="13" t="n">
        <f aca="false">0</f>
        <v>0</v>
      </c>
      <c r="U30" s="13" t="n">
        <f aca="false">$C30*IF($A30=Inputs!$B$15,Inputs!$B$14,0)</f>
        <v>0</v>
      </c>
      <c r="V30" s="13" t="n">
        <f aca="false">$C30*IF($A30&lt;=Inputs!$B$15,0,Inputs!$B$5*(1-Inputs!$B$10)^($A30-Inputs!$B$15-1)*Inputs!$B$7*(1+Inputs!$B$12)^($A30-1))</f>
        <v>127811.7949812</v>
      </c>
      <c r="W30" s="13" t="n">
        <f aca="false">V30*Inputs!$B$18-R30-S30-T30-U30</f>
        <v>117311.7949812</v>
      </c>
    </row>
    <row r="31" customFormat="false" ht="15" hidden="false" customHeight="false" outlineLevel="0" collapsed="false">
      <c r="A31" s="6" t="n">
        <v>26</v>
      </c>
      <c r="B31" s="35" t="n">
        <f aca="false">1/(1+Inputs!$B$11)^$A31</f>
        <v>0.180778771174505</v>
      </c>
      <c r="C31" s="36" t="n">
        <f aca="false">IF($A31&lt;=Inputs!$B$13,1,0)</f>
        <v>0</v>
      </c>
      <c r="D31" s="8" t="n">
        <f aca="false">$C31*IF($A31=Inputs!$B$15,Inputs!$B$14,0)</f>
        <v>0</v>
      </c>
      <c r="E31" s="13" t="n">
        <f aca="false">-D31</f>
        <v>-0</v>
      </c>
      <c r="F31" s="13" t="n">
        <f aca="false">$C31*IF($A31=0,Inputs!$B$8*Inputs!$B$6*1000,0)</f>
        <v>0</v>
      </c>
      <c r="G31" s="13" t="n">
        <f aca="false">$C31*IF($A31&gt;=1,Inputs!$B$9*Inputs!$B$6,0)</f>
        <v>0</v>
      </c>
      <c r="H31" s="13" t="n">
        <f aca="false">$C31*IF($A31=Inputs!$B$15,Inputs!$B$16,0)</f>
        <v>0</v>
      </c>
      <c r="I31" s="13" t="n">
        <f aca="false">$C31*IF($A31=Inputs!$B$15,Inputs!$B$14,0)</f>
        <v>0</v>
      </c>
      <c r="J31" s="13" t="n">
        <f aca="false">$C31*IF($A31&lt;1,0,Inputs!$B$5*(1-Inputs!$B$10)^($A31-1)*Inputs!$B$7*(1+Inputs!$B$12)^($A31-1)*(1-IF($A31=Inputs!$B$15,Inputs!$B$17/12,0)))</f>
        <v>0</v>
      </c>
      <c r="K31" s="13" t="n">
        <f aca="false">J31*Inputs!$B$18-F31-G31-H31-I31</f>
        <v>0</v>
      </c>
      <c r="L31" s="13" t="n">
        <f aca="false">$C31*IF($A31=0,Inputs!$B$8*Inputs!$B$6*1000,0)</f>
        <v>0</v>
      </c>
      <c r="M31" s="13" t="n">
        <f aca="false">$C31*IF($A31&gt;=1,Inputs!$B$9*Inputs!$B$6,0)</f>
        <v>0</v>
      </c>
      <c r="N31" s="13" t="n">
        <f aca="false">0</f>
        <v>0</v>
      </c>
      <c r="O31" s="13" t="n">
        <f aca="false">$C31*IF($A31=0,Inputs!$B$14,0)</f>
        <v>0</v>
      </c>
      <c r="P31" s="13" t="n">
        <f aca="false">$C31*IF($A31&lt;1,0,Inputs!$B$5*(1-Inputs!$B$10)^($A31-1)*Inputs!$B$7*(1+Inputs!$B$12)^($A31-1))</f>
        <v>0</v>
      </c>
      <c r="Q31" s="13" t="n">
        <f aca="false">P31*Inputs!$B$18-L31-M31-N31-O31</f>
        <v>0</v>
      </c>
      <c r="R31" s="13" t="n">
        <f aca="false">$C31*IF($A31=Inputs!$B$15,Inputs!$B$8*Inputs!$B$6*1000,0)</f>
        <v>0</v>
      </c>
      <c r="S31" s="13" t="n">
        <f aca="false">$C31*IF($A31&gt;Inputs!$B$15,Inputs!$B$9*Inputs!$B$6,0)</f>
        <v>0</v>
      </c>
      <c r="T31" s="13" t="n">
        <f aca="false">0</f>
        <v>0</v>
      </c>
      <c r="U31" s="13" t="n">
        <f aca="false">$C31*IF($A31=Inputs!$B$15,Inputs!$B$14,0)</f>
        <v>0</v>
      </c>
      <c r="V31" s="13" t="n">
        <f aca="false">$C31*IF($A31&lt;=Inputs!$B$15,0,Inputs!$B$5*(1-Inputs!$B$10)^($A31-Inputs!$B$15-1)*Inputs!$B$7*(1+Inputs!$B$12)^($A31-1))</f>
        <v>0</v>
      </c>
      <c r="W31" s="13" t="n">
        <f aca="false">V31*Inputs!$B$18-R31-S31-T31-U31</f>
        <v>0</v>
      </c>
    </row>
    <row r="32" customFormat="false" ht="15" hidden="false" customHeight="false" outlineLevel="0" collapsed="false">
      <c r="A32" s="6" t="n">
        <v>27</v>
      </c>
      <c r="B32" s="35" t="n">
        <f aca="false">1/(1+Inputs!$B$11)^$A32</f>
        <v>0.169268512335679</v>
      </c>
      <c r="C32" s="36" t="n">
        <f aca="false">IF($A32&lt;=Inputs!$B$13,1,0)</f>
        <v>0</v>
      </c>
      <c r="D32" s="8" t="n">
        <f aca="false">$C32*IF($A32=Inputs!$B$15,Inputs!$B$14,0)</f>
        <v>0</v>
      </c>
      <c r="E32" s="13" t="n">
        <f aca="false">-D32</f>
        <v>-0</v>
      </c>
      <c r="F32" s="13" t="n">
        <f aca="false">$C32*IF($A32=0,Inputs!$B$8*Inputs!$B$6*1000,0)</f>
        <v>0</v>
      </c>
      <c r="G32" s="13" t="n">
        <f aca="false">$C32*IF($A32&gt;=1,Inputs!$B$9*Inputs!$B$6,0)</f>
        <v>0</v>
      </c>
      <c r="H32" s="13" t="n">
        <f aca="false">$C32*IF($A32=Inputs!$B$15,Inputs!$B$16,0)</f>
        <v>0</v>
      </c>
      <c r="I32" s="13" t="n">
        <f aca="false">$C32*IF($A32=Inputs!$B$15,Inputs!$B$14,0)</f>
        <v>0</v>
      </c>
      <c r="J32" s="13" t="n">
        <f aca="false">$C32*IF($A32&lt;1,0,Inputs!$B$5*(1-Inputs!$B$10)^($A32-1)*Inputs!$B$7*(1+Inputs!$B$12)^($A32-1)*(1-IF($A32=Inputs!$B$15,Inputs!$B$17/12,0)))</f>
        <v>0</v>
      </c>
      <c r="K32" s="13" t="n">
        <f aca="false">J32*Inputs!$B$18-F32-G32-H32-I32</f>
        <v>0</v>
      </c>
      <c r="L32" s="13" t="n">
        <f aca="false">$C32*IF($A32=0,Inputs!$B$8*Inputs!$B$6*1000,0)</f>
        <v>0</v>
      </c>
      <c r="M32" s="13" t="n">
        <f aca="false">$C32*IF($A32&gt;=1,Inputs!$B$9*Inputs!$B$6,0)</f>
        <v>0</v>
      </c>
      <c r="N32" s="13" t="n">
        <f aca="false">0</f>
        <v>0</v>
      </c>
      <c r="O32" s="13" t="n">
        <f aca="false">$C32*IF($A32=0,Inputs!$B$14,0)</f>
        <v>0</v>
      </c>
      <c r="P32" s="13" t="n">
        <f aca="false">$C32*IF($A32&lt;1,0,Inputs!$B$5*(1-Inputs!$B$10)^($A32-1)*Inputs!$B$7*(1+Inputs!$B$12)^($A32-1))</f>
        <v>0</v>
      </c>
      <c r="Q32" s="13" t="n">
        <f aca="false">P32*Inputs!$B$18-L32-M32-N32-O32</f>
        <v>0</v>
      </c>
      <c r="R32" s="13" t="n">
        <f aca="false">$C32*IF($A32=Inputs!$B$15,Inputs!$B$8*Inputs!$B$6*1000,0)</f>
        <v>0</v>
      </c>
      <c r="S32" s="13" t="n">
        <f aca="false">$C32*IF($A32&gt;Inputs!$B$15,Inputs!$B$9*Inputs!$B$6,0)</f>
        <v>0</v>
      </c>
      <c r="T32" s="13" t="n">
        <f aca="false">0</f>
        <v>0</v>
      </c>
      <c r="U32" s="13" t="n">
        <f aca="false">$C32*IF($A32=Inputs!$B$15,Inputs!$B$14,0)</f>
        <v>0</v>
      </c>
      <c r="V32" s="13" t="n">
        <f aca="false">$C32*IF($A32&lt;=Inputs!$B$15,0,Inputs!$B$5*(1-Inputs!$B$10)^($A32-Inputs!$B$15-1)*Inputs!$B$7*(1+Inputs!$B$12)^($A32-1))</f>
        <v>0</v>
      </c>
      <c r="W32" s="13" t="n">
        <f aca="false">V32*Inputs!$B$18-R32-S32-T32-U32</f>
        <v>0</v>
      </c>
    </row>
    <row r="33" customFormat="false" ht="15" hidden="false" customHeight="false" outlineLevel="0" collapsed="false">
      <c r="A33" s="6" t="n">
        <v>28</v>
      </c>
      <c r="B33" s="35" t="n">
        <f aca="false">1/(1+Inputs!$B$11)^$A33</f>
        <v>0.158491116419175</v>
      </c>
      <c r="C33" s="36" t="n">
        <f aca="false">IF($A33&lt;=Inputs!$B$13,1,0)</f>
        <v>0</v>
      </c>
      <c r="D33" s="8" t="n">
        <f aca="false">$C33*IF($A33=Inputs!$B$15,Inputs!$B$14,0)</f>
        <v>0</v>
      </c>
      <c r="E33" s="13" t="n">
        <f aca="false">-D33</f>
        <v>-0</v>
      </c>
      <c r="F33" s="13" t="n">
        <f aca="false">$C33*IF($A33=0,Inputs!$B$8*Inputs!$B$6*1000,0)</f>
        <v>0</v>
      </c>
      <c r="G33" s="13" t="n">
        <f aca="false">$C33*IF($A33&gt;=1,Inputs!$B$9*Inputs!$B$6,0)</f>
        <v>0</v>
      </c>
      <c r="H33" s="13" t="n">
        <f aca="false">$C33*IF($A33=Inputs!$B$15,Inputs!$B$16,0)</f>
        <v>0</v>
      </c>
      <c r="I33" s="13" t="n">
        <f aca="false">$C33*IF($A33=Inputs!$B$15,Inputs!$B$14,0)</f>
        <v>0</v>
      </c>
      <c r="J33" s="13" t="n">
        <f aca="false">$C33*IF($A33&lt;1,0,Inputs!$B$5*(1-Inputs!$B$10)^($A33-1)*Inputs!$B$7*(1+Inputs!$B$12)^($A33-1)*(1-IF($A33=Inputs!$B$15,Inputs!$B$17/12,0)))</f>
        <v>0</v>
      </c>
      <c r="K33" s="13" t="n">
        <f aca="false">J33*Inputs!$B$18-F33-G33-H33-I33</f>
        <v>0</v>
      </c>
      <c r="L33" s="13" t="n">
        <f aca="false">$C33*IF($A33=0,Inputs!$B$8*Inputs!$B$6*1000,0)</f>
        <v>0</v>
      </c>
      <c r="M33" s="13" t="n">
        <f aca="false">$C33*IF($A33&gt;=1,Inputs!$B$9*Inputs!$B$6,0)</f>
        <v>0</v>
      </c>
      <c r="N33" s="13" t="n">
        <f aca="false">0</f>
        <v>0</v>
      </c>
      <c r="O33" s="13" t="n">
        <f aca="false">$C33*IF($A33=0,Inputs!$B$14,0)</f>
        <v>0</v>
      </c>
      <c r="P33" s="13" t="n">
        <f aca="false">$C33*IF($A33&lt;1,0,Inputs!$B$5*(1-Inputs!$B$10)^($A33-1)*Inputs!$B$7*(1+Inputs!$B$12)^($A33-1))</f>
        <v>0</v>
      </c>
      <c r="Q33" s="13" t="n">
        <f aca="false">P33*Inputs!$B$18-L33-M33-N33-O33</f>
        <v>0</v>
      </c>
      <c r="R33" s="13" t="n">
        <f aca="false">$C33*IF($A33=Inputs!$B$15,Inputs!$B$8*Inputs!$B$6*1000,0)</f>
        <v>0</v>
      </c>
      <c r="S33" s="13" t="n">
        <f aca="false">$C33*IF($A33&gt;Inputs!$B$15,Inputs!$B$9*Inputs!$B$6,0)</f>
        <v>0</v>
      </c>
      <c r="T33" s="13" t="n">
        <f aca="false">0</f>
        <v>0</v>
      </c>
      <c r="U33" s="13" t="n">
        <f aca="false">$C33*IF($A33=Inputs!$B$15,Inputs!$B$14,0)</f>
        <v>0</v>
      </c>
      <c r="V33" s="13" t="n">
        <f aca="false">$C33*IF($A33&lt;=Inputs!$B$15,0,Inputs!$B$5*(1-Inputs!$B$10)^($A33-Inputs!$B$15-1)*Inputs!$B$7*(1+Inputs!$B$12)^($A33-1))</f>
        <v>0</v>
      </c>
      <c r="W33" s="13" t="n">
        <f aca="false">V33*Inputs!$B$18-R33-S33-T33-U33</f>
        <v>0</v>
      </c>
    </row>
    <row r="34" customFormat="false" ht="15" hidden="false" customHeight="false" outlineLevel="0" collapsed="false">
      <c r="A34" s="6" t="n">
        <v>29</v>
      </c>
      <c r="B34" s="35" t="n">
        <f aca="false">1/(1+Inputs!$B$11)^$A34</f>
        <v>0.148399921740801</v>
      </c>
      <c r="C34" s="36" t="n">
        <f aca="false">IF($A34&lt;=Inputs!$B$13,1,0)</f>
        <v>0</v>
      </c>
      <c r="D34" s="8" t="n">
        <f aca="false">$C34*IF($A34=Inputs!$B$15,Inputs!$B$14,0)</f>
        <v>0</v>
      </c>
      <c r="E34" s="13" t="n">
        <f aca="false">-D34</f>
        <v>-0</v>
      </c>
      <c r="F34" s="13" t="n">
        <f aca="false">$C34*IF($A34=0,Inputs!$B$8*Inputs!$B$6*1000,0)</f>
        <v>0</v>
      </c>
      <c r="G34" s="13" t="n">
        <f aca="false">$C34*IF($A34&gt;=1,Inputs!$B$9*Inputs!$B$6,0)</f>
        <v>0</v>
      </c>
      <c r="H34" s="13" t="n">
        <f aca="false">$C34*IF($A34=Inputs!$B$15,Inputs!$B$16,0)</f>
        <v>0</v>
      </c>
      <c r="I34" s="13" t="n">
        <f aca="false">$C34*IF($A34=Inputs!$B$15,Inputs!$B$14,0)</f>
        <v>0</v>
      </c>
      <c r="J34" s="13" t="n">
        <f aca="false">$C34*IF($A34&lt;1,0,Inputs!$B$5*(1-Inputs!$B$10)^($A34-1)*Inputs!$B$7*(1+Inputs!$B$12)^($A34-1)*(1-IF($A34=Inputs!$B$15,Inputs!$B$17/12,0)))</f>
        <v>0</v>
      </c>
      <c r="K34" s="13" t="n">
        <f aca="false">J34*Inputs!$B$18-F34-G34-H34-I34</f>
        <v>0</v>
      </c>
      <c r="L34" s="13" t="n">
        <f aca="false">$C34*IF($A34=0,Inputs!$B$8*Inputs!$B$6*1000,0)</f>
        <v>0</v>
      </c>
      <c r="M34" s="13" t="n">
        <f aca="false">$C34*IF($A34&gt;=1,Inputs!$B$9*Inputs!$B$6,0)</f>
        <v>0</v>
      </c>
      <c r="N34" s="13" t="n">
        <f aca="false">0</f>
        <v>0</v>
      </c>
      <c r="O34" s="13" t="n">
        <f aca="false">$C34*IF($A34=0,Inputs!$B$14,0)</f>
        <v>0</v>
      </c>
      <c r="P34" s="13" t="n">
        <f aca="false">$C34*IF($A34&lt;1,0,Inputs!$B$5*(1-Inputs!$B$10)^($A34-1)*Inputs!$B$7*(1+Inputs!$B$12)^($A34-1))</f>
        <v>0</v>
      </c>
      <c r="Q34" s="13" t="n">
        <f aca="false">P34*Inputs!$B$18-L34-M34-N34-O34</f>
        <v>0</v>
      </c>
      <c r="R34" s="13" t="n">
        <f aca="false">$C34*IF($A34=Inputs!$B$15,Inputs!$B$8*Inputs!$B$6*1000,0)</f>
        <v>0</v>
      </c>
      <c r="S34" s="13" t="n">
        <f aca="false">$C34*IF($A34&gt;Inputs!$B$15,Inputs!$B$9*Inputs!$B$6,0)</f>
        <v>0</v>
      </c>
      <c r="T34" s="13" t="n">
        <f aca="false">0</f>
        <v>0</v>
      </c>
      <c r="U34" s="13" t="n">
        <f aca="false">$C34*IF($A34=Inputs!$B$15,Inputs!$B$14,0)</f>
        <v>0</v>
      </c>
      <c r="V34" s="13" t="n">
        <f aca="false">$C34*IF($A34&lt;=Inputs!$B$15,0,Inputs!$B$5*(1-Inputs!$B$10)^($A34-Inputs!$B$15-1)*Inputs!$B$7*(1+Inputs!$B$12)^($A34-1))</f>
        <v>0</v>
      </c>
      <c r="W34" s="13" t="n">
        <f aca="false">V34*Inputs!$B$18-R34-S34-T34-U34</f>
        <v>0</v>
      </c>
    </row>
    <row r="35" customFormat="false" ht="15" hidden="false" customHeight="false" outlineLevel="0" collapsed="false">
      <c r="A35" s="6" t="n">
        <v>30</v>
      </c>
      <c r="B35" s="35" t="n">
        <f aca="false">1/(1+Inputs!$B$11)^$A35</f>
        <v>0.138951237585019</v>
      </c>
      <c r="C35" s="36" t="n">
        <f aca="false">IF($A35&lt;=Inputs!$B$13,1,0)</f>
        <v>0</v>
      </c>
      <c r="D35" s="8" t="n">
        <f aca="false">$C35*IF($A35=Inputs!$B$15,Inputs!$B$14,0)</f>
        <v>0</v>
      </c>
      <c r="E35" s="13" t="n">
        <f aca="false">-D35</f>
        <v>-0</v>
      </c>
      <c r="F35" s="13" t="n">
        <f aca="false">$C35*IF($A35=0,Inputs!$B$8*Inputs!$B$6*1000,0)</f>
        <v>0</v>
      </c>
      <c r="G35" s="13" t="n">
        <f aca="false">$C35*IF($A35&gt;=1,Inputs!$B$9*Inputs!$B$6,0)</f>
        <v>0</v>
      </c>
      <c r="H35" s="13" t="n">
        <f aca="false">$C35*IF($A35=Inputs!$B$15,Inputs!$B$16,0)</f>
        <v>0</v>
      </c>
      <c r="I35" s="13" t="n">
        <f aca="false">$C35*IF($A35=Inputs!$B$15,Inputs!$B$14,0)</f>
        <v>0</v>
      </c>
      <c r="J35" s="13" t="n">
        <f aca="false">$C35*IF($A35&lt;1,0,Inputs!$B$5*(1-Inputs!$B$10)^($A35-1)*Inputs!$B$7*(1+Inputs!$B$12)^($A35-1)*(1-IF($A35=Inputs!$B$15,Inputs!$B$17/12,0)))</f>
        <v>0</v>
      </c>
      <c r="K35" s="13" t="n">
        <f aca="false">J35*Inputs!$B$18-F35-G35-H35-I35</f>
        <v>0</v>
      </c>
      <c r="L35" s="13" t="n">
        <f aca="false">$C35*IF($A35=0,Inputs!$B$8*Inputs!$B$6*1000,0)</f>
        <v>0</v>
      </c>
      <c r="M35" s="13" t="n">
        <f aca="false">$C35*IF($A35&gt;=1,Inputs!$B$9*Inputs!$B$6,0)</f>
        <v>0</v>
      </c>
      <c r="N35" s="13" t="n">
        <f aca="false">0</f>
        <v>0</v>
      </c>
      <c r="O35" s="13" t="n">
        <f aca="false">$C35*IF($A35=0,Inputs!$B$14,0)</f>
        <v>0</v>
      </c>
      <c r="P35" s="13" t="n">
        <f aca="false">$C35*IF($A35&lt;1,0,Inputs!$B$5*(1-Inputs!$B$10)^($A35-1)*Inputs!$B$7*(1+Inputs!$B$12)^($A35-1))</f>
        <v>0</v>
      </c>
      <c r="Q35" s="13" t="n">
        <f aca="false">P35*Inputs!$B$18-L35-M35-N35-O35</f>
        <v>0</v>
      </c>
      <c r="R35" s="13" t="n">
        <f aca="false">$C35*IF($A35=Inputs!$B$15,Inputs!$B$8*Inputs!$B$6*1000,0)</f>
        <v>0</v>
      </c>
      <c r="S35" s="13" t="n">
        <f aca="false">$C35*IF($A35&gt;Inputs!$B$15,Inputs!$B$9*Inputs!$B$6,0)</f>
        <v>0</v>
      </c>
      <c r="T35" s="13" t="n">
        <f aca="false">0</f>
        <v>0</v>
      </c>
      <c r="U35" s="13" t="n">
        <f aca="false">$C35*IF($A35=Inputs!$B$15,Inputs!$B$14,0)</f>
        <v>0</v>
      </c>
      <c r="V35" s="13" t="n">
        <f aca="false">$C35*IF($A35&lt;=Inputs!$B$15,0,Inputs!$B$5*(1-Inputs!$B$10)^($A35-Inputs!$B$15-1)*Inputs!$B$7*(1+Inputs!$B$12)^($A35-1))</f>
        <v>0</v>
      </c>
      <c r="W35" s="13" t="n">
        <f aca="false">V35*Inputs!$B$18-R35-S35-T35-U35</f>
        <v>0</v>
      </c>
    </row>
    <row r="36" customFormat="false" ht="15" hidden="false" customHeight="false" outlineLevel="0" collapsed="false">
      <c r="A36" s="37" t="s">
        <v>174</v>
      </c>
      <c r="B36" s="38"/>
      <c r="C36" s="38"/>
      <c r="D36" s="39" t="n">
        <f aca="false">SUMPRODUCT(D5:D35,$B$5:$B$35)</f>
        <v>410446.206644337</v>
      </c>
      <c r="E36" s="39" t="n">
        <f aca="false">SUMPRODUCT(E5:E35,$B$5:$B$35)</f>
        <v>-410446.206644337</v>
      </c>
      <c r="F36" s="39" t="n">
        <f aca="false">SUMPRODUCT(F5:F35,$B$5:$B$35)</f>
        <v>1065000</v>
      </c>
      <c r="G36" s="39" t="n">
        <f aca="false">SUMPRODUCT(G5:G35,$B$5:$B$35)</f>
        <v>124599.218530134</v>
      </c>
      <c r="H36" s="39" t="n">
        <f aca="false">SUMPRODUCT(H5:H35,$B$5:$B$35)</f>
        <v>61566.9309966506</v>
      </c>
      <c r="I36" s="39" t="n">
        <f aca="false">SUMPRODUCT(I5:I35,$B$5:$B$35)</f>
        <v>410446.206644337</v>
      </c>
      <c r="J36" s="39" t="n">
        <f aca="false">SUMPRODUCT(J5:J35,$B$5:$B$35)</f>
        <v>1635146.36395232</v>
      </c>
      <c r="K36" s="39" t="n">
        <f aca="false">SUMPRODUCT(K5:K35,$B$5:$B$35)</f>
        <v>-26465.9922187997</v>
      </c>
      <c r="L36" s="39" t="n">
        <f aca="false">SUMPRODUCT(L5:L35,$B$5:$B$35)</f>
        <v>1065000</v>
      </c>
      <c r="M36" s="39" t="n">
        <f aca="false">SUMPRODUCT(M5:M35,$B$5:$B$35)</f>
        <v>124599.218530134</v>
      </c>
      <c r="N36" s="39" t="n">
        <f aca="false">SUMPRODUCT(N5:N35,$B$5:$B$35)</f>
        <v>0</v>
      </c>
      <c r="O36" s="39" t="n">
        <f aca="false">SUMPRODUCT(O5:O35,$B$5:$B$35)</f>
        <v>500000</v>
      </c>
      <c r="P36" s="39" t="n">
        <f aca="false">SUMPRODUCT(P5:P35,$B$5:$B$35)</f>
        <v>1655129.8018055</v>
      </c>
      <c r="Q36" s="39" t="n">
        <f aca="false">SUMPRODUCT(Q5:Q35,$B$5:$B$35)</f>
        <v>-34469.4167246326</v>
      </c>
      <c r="R36" s="39" t="n">
        <f aca="false">SUMPRODUCT(R5:R35,$B$5:$B$35)</f>
        <v>874250.420152439</v>
      </c>
      <c r="S36" s="39" t="n">
        <f aca="false">SUMPRODUCT(S5:S35,$B$5:$B$35)</f>
        <v>96942.8999938261</v>
      </c>
      <c r="T36" s="39" t="n">
        <f aca="false">SUMPRODUCT(T5:T35,$B$5:$B$35)</f>
        <v>0</v>
      </c>
      <c r="U36" s="39" t="n">
        <f aca="false">SUMPRODUCT(U5:U35,$B$5:$B$35)</f>
        <v>410446.206644337</v>
      </c>
      <c r="V36" s="39" t="n">
        <f aca="false">SUMPRODUCT(V5:V35,$B$5:$B$35)</f>
        <v>1294572.28117518</v>
      </c>
      <c r="W36" s="39" t="n">
        <f aca="false">SUMPRODUCT(W5:W35,$B$5:$B$35)</f>
        <v>-87067.2456154269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38"/>
    <col collapsed="false" customWidth="true" hidden="false" outlineLevel="0" max="9" min="9" style="0" width="42"/>
    <col collapsed="false" customWidth="true" hidden="false" outlineLevel="0" max="10" min="10" style="0" width="52"/>
  </cols>
  <sheetData>
    <row r="1" customFormat="false" ht="17.35" hidden="false" customHeight="false" outlineLevel="0" collapsed="false">
      <c r="A1" s="1" t="s">
        <v>175</v>
      </c>
    </row>
    <row r="2" customFormat="false" ht="15" hidden="false" customHeight="false" outlineLevel="0" collapsed="false">
      <c r="A2" s="4" t="s">
        <v>176</v>
      </c>
    </row>
    <row r="4" customFormat="false" ht="30" hidden="false" customHeight="true" outlineLevel="0" collapsed="false">
      <c r="A4" s="5" t="s">
        <v>177</v>
      </c>
      <c r="B4" s="5" t="s">
        <v>46</v>
      </c>
      <c r="C4" s="5" t="s">
        <v>47</v>
      </c>
      <c r="D4" s="5" t="s">
        <v>178</v>
      </c>
      <c r="E4" s="5" t="s">
        <v>179</v>
      </c>
      <c r="F4" s="5" t="s">
        <v>180</v>
      </c>
      <c r="G4" s="5" t="s">
        <v>181</v>
      </c>
      <c r="H4" s="5" t="s">
        <v>49</v>
      </c>
      <c r="I4" s="5" t="s">
        <v>50</v>
      </c>
      <c r="J4" s="5" t="s">
        <v>182</v>
      </c>
    </row>
    <row r="5" customFormat="false" ht="15" hidden="false" customHeight="false" outlineLevel="0" collapsed="false">
      <c r="A5" s="14" t="s">
        <v>183</v>
      </c>
      <c r="B5" s="40" t="n">
        <v>24.11</v>
      </c>
      <c r="C5" s="14" t="s">
        <v>184</v>
      </c>
      <c r="D5" s="41" t="n">
        <f aca="false">IF(OR(C5="cents/kWh",C5="percent"),B5/100,B5)</f>
        <v>0.2411</v>
      </c>
      <c r="E5" s="42" t="n">
        <f aca="false">Inputs!B7</f>
        <v>0.2411</v>
      </c>
      <c r="F5" s="41" t="n">
        <f aca="false">E5-D5</f>
        <v>0</v>
      </c>
      <c r="G5" s="14" t="s">
        <v>185</v>
      </c>
      <c r="H5" s="14" t="s">
        <v>186</v>
      </c>
      <c r="I5" s="16" t="s">
        <v>66</v>
      </c>
      <c r="J5" s="14" t="s">
        <v>187</v>
      </c>
    </row>
    <row r="6" customFormat="false" ht="15" hidden="false" customHeight="false" outlineLevel="0" collapsed="false">
      <c r="A6" s="14" t="s">
        <v>188</v>
      </c>
      <c r="B6" s="40" t="n">
        <v>23.15</v>
      </c>
      <c r="C6" s="14" t="s">
        <v>184</v>
      </c>
      <c r="D6" s="41" t="n">
        <f aca="false">IF(OR(C6="cents/kWh",C6="percent"),B6/100,B6)</f>
        <v>0.2315</v>
      </c>
      <c r="E6" s="42" t="n">
        <f aca="false">Inputs!B7</f>
        <v>0.2411</v>
      </c>
      <c r="F6" s="41" t="n">
        <f aca="false">E6-D6</f>
        <v>0.00960000000000003</v>
      </c>
      <c r="G6" s="14" t="s">
        <v>185</v>
      </c>
      <c r="H6" s="14" t="s">
        <v>186</v>
      </c>
      <c r="I6" s="16" t="s">
        <v>66</v>
      </c>
      <c r="J6" s="14" t="s">
        <v>189</v>
      </c>
    </row>
    <row r="7" customFormat="false" ht="15" hidden="false" customHeight="false" outlineLevel="0" collapsed="false">
      <c r="A7" s="14" t="s">
        <v>190</v>
      </c>
      <c r="B7" s="40" t="n">
        <v>14.47</v>
      </c>
      <c r="C7" s="14" t="s">
        <v>184</v>
      </c>
      <c r="D7" s="41" t="n">
        <f aca="false">IF(OR(C7="cents/kWh",C7="percent"),B7/100,B7)</f>
        <v>0.1447</v>
      </c>
      <c r="E7" s="42" t="n">
        <f aca="false">Inputs!B7</f>
        <v>0.2411</v>
      </c>
      <c r="F7" s="41" t="n">
        <f aca="false">E7-D7</f>
        <v>0.0964</v>
      </c>
      <c r="G7" s="14" t="s">
        <v>185</v>
      </c>
      <c r="H7" s="14" t="s">
        <v>186</v>
      </c>
      <c r="I7" s="16" t="s">
        <v>66</v>
      </c>
      <c r="J7" s="14" t="s">
        <v>191</v>
      </c>
    </row>
    <row r="8" customFormat="false" ht="15" hidden="false" customHeight="false" outlineLevel="0" collapsed="false">
      <c r="A8" s="14" t="s">
        <v>192</v>
      </c>
      <c r="B8" s="40" t="n">
        <v>1.89</v>
      </c>
      <c r="C8" s="14" t="s">
        <v>193</v>
      </c>
      <c r="D8" s="43" t="n">
        <f aca="false">IF(OR(C8="cents/kWh",C8="percent"),B8/100,B8)</f>
        <v>1.89</v>
      </c>
      <c r="E8" s="44" t="n">
        <f aca="false">Inputs!B8</f>
        <v>2.13</v>
      </c>
      <c r="F8" s="43" t="n">
        <f aca="false">E8-D8</f>
        <v>0.24</v>
      </c>
      <c r="G8" s="14" t="s">
        <v>194</v>
      </c>
      <c r="H8" s="14" t="s">
        <v>195</v>
      </c>
      <c r="I8" s="16" t="s">
        <v>71</v>
      </c>
      <c r="J8" s="14" t="s">
        <v>196</v>
      </c>
    </row>
    <row r="9" customFormat="false" ht="15" hidden="false" customHeight="false" outlineLevel="0" collapsed="false">
      <c r="A9" s="14" t="s">
        <v>197</v>
      </c>
      <c r="B9" s="40" t="n">
        <v>2.13</v>
      </c>
      <c r="C9" s="14" t="s">
        <v>193</v>
      </c>
      <c r="D9" s="43" t="n">
        <f aca="false">IF(OR(C9="cents/kWh",C9="percent"),B9/100,B9)</f>
        <v>2.13</v>
      </c>
      <c r="E9" s="44" t="n">
        <f aca="false">Inputs!B8</f>
        <v>2.13</v>
      </c>
      <c r="F9" s="43" t="n">
        <f aca="false">E9-D9</f>
        <v>0</v>
      </c>
      <c r="G9" s="14" t="s">
        <v>194</v>
      </c>
      <c r="H9" s="14" t="s">
        <v>195</v>
      </c>
      <c r="I9" s="16" t="s">
        <v>71</v>
      </c>
      <c r="J9" s="14" t="s">
        <v>198</v>
      </c>
    </row>
    <row r="10" customFormat="false" ht="23.85" hidden="false" customHeight="false" outlineLevel="0" collapsed="false">
      <c r="A10" s="14" t="s">
        <v>199</v>
      </c>
      <c r="B10" s="40" t="n">
        <v>1.55</v>
      </c>
      <c r="C10" s="14" t="s">
        <v>193</v>
      </c>
      <c r="D10" s="43" t="n">
        <f aca="false">IF(OR(C10="cents/kWh",C10="percent"),B10/100,B10)</f>
        <v>1.55</v>
      </c>
      <c r="E10" s="44" t="n">
        <f aca="false">Inputs!B8</f>
        <v>2.13</v>
      </c>
      <c r="F10" s="43" t="n">
        <f aca="false">E10-D10</f>
        <v>0.58</v>
      </c>
      <c r="G10" s="14" t="s">
        <v>194</v>
      </c>
      <c r="H10" s="14" t="s">
        <v>195</v>
      </c>
      <c r="I10" s="16" t="s">
        <v>71</v>
      </c>
      <c r="J10" s="14" t="s">
        <v>200</v>
      </c>
    </row>
    <row r="11" customFormat="false" ht="15" hidden="false" customHeight="false" outlineLevel="0" collapsed="false">
      <c r="A11" s="14" t="s">
        <v>201</v>
      </c>
      <c r="B11" s="40" t="n">
        <v>21</v>
      </c>
      <c r="C11" s="14" t="s">
        <v>202</v>
      </c>
      <c r="D11" s="45" t="n">
        <f aca="false">IF(OR(C11="cents/kWh",C11="percent"),B11/100,B11)</f>
        <v>21</v>
      </c>
      <c r="E11" s="46" t="n">
        <f aca="false">Inputs!B9</f>
        <v>21</v>
      </c>
      <c r="F11" s="45" t="n">
        <f aca="false">E11-D11</f>
        <v>0</v>
      </c>
      <c r="G11" s="14" t="s">
        <v>203</v>
      </c>
      <c r="H11" s="14" t="s">
        <v>204</v>
      </c>
      <c r="I11" s="16" t="s">
        <v>71</v>
      </c>
      <c r="J11" s="14" t="s">
        <v>205</v>
      </c>
    </row>
    <row r="12" customFormat="false" ht="15" hidden="false" customHeight="false" outlineLevel="0" collapsed="false">
      <c r="A12" s="14" t="s">
        <v>206</v>
      </c>
      <c r="B12" s="40" t="n">
        <v>20</v>
      </c>
      <c r="C12" s="14" t="s">
        <v>202</v>
      </c>
      <c r="D12" s="45" t="n">
        <f aca="false">IF(OR(C12="cents/kWh",C12="percent"),B12/100,B12)</f>
        <v>20</v>
      </c>
      <c r="E12" s="46" t="n">
        <f aca="false">Inputs!B9</f>
        <v>21</v>
      </c>
      <c r="F12" s="45" t="n">
        <f aca="false">E12-D12</f>
        <v>1</v>
      </c>
      <c r="G12" s="14" t="s">
        <v>203</v>
      </c>
      <c r="H12" s="14" t="s">
        <v>204</v>
      </c>
      <c r="I12" s="16" t="s">
        <v>71</v>
      </c>
      <c r="J12" s="14" t="s">
        <v>207</v>
      </c>
    </row>
    <row r="13" customFormat="false" ht="15" hidden="false" customHeight="false" outlineLevel="0" collapsed="false">
      <c r="A13" s="14" t="s">
        <v>208</v>
      </c>
      <c r="B13" s="40" t="n">
        <v>0.7</v>
      </c>
      <c r="C13" s="14" t="s">
        <v>209</v>
      </c>
      <c r="D13" s="47" t="n">
        <f aca="false">IF(OR(C13="cents/kWh",C13="percent"),B13/100,B13)</f>
        <v>0.007</v>
      </c>
      <c r="E13" s="48" t="n">
        <f aca="false">Inputs!B10</f>
        <v>0.007</v>
      </c>
      <c r="F13" s="47" t="n">
        <f aca="false">E13-D13</f>
        <v>0</v>
      </c>
      <c r="G13" s="14" t="s">
        <v>210</v>
      </c>
      <c r="H13" s="14" t="s">
        <v>204</v>
      </c>
      <c r="I13" s="16" t="s">
        <v>71</v>
      </c>
      <c r="J13" s="14" t="s">
        <v>211</v>
      </c>
    </row>
    <row r="14" customFormat="false" ht="15" hidden="false" customHeight="false" outlineLevel="0" collapsed="false">
      <c r="A14" s="14" t="s">
        <v>212</v>
      </c>
      <c r="B14" s="40" t="n">
        <v>6.1</v>
      </c>
      <c r="C14" s="14" t="s">
        <v>209</v>
      </c>
      <c r="D14" s="47" t="n">
        <f aca="false">IF(OR(C14="cents/kWh",C14="percent"),B14/100,B14)</f>
        <v>0.061</v>
      </c>
      <c r="E14" s="48" t="n">
        <f aca="false">Inputs!B11</f>
        <v>0.068</v>
      </c>
      <c r="F14" s="47" t="n">
        <f aca="false">E14-D14</f>
        <v>0.00700000000000001</v>
      </c>
      <c r="G14" s="14" t="s">
        <v>213</v>
      </c>
      <c r="H14" s="14" t="s">
        <v>204</v>
      </c>
      <c r="I14" s="16" t="s">
        <v>71</v>
      </c>
      <c r="J14" s="14" t="s">
        <v>214</v>
      </c>
    </row>
    <row r="15" customFormat="false" ht="15" hidden="false" customHeight="false" outlineLevel="0" collapsed="false">
      <c r="A15" s="14" t="s">
        <v>215</v>
      </c>
      <c r="B15" s="40" t="n">
        <v>6.8</v>
      </c>
      <c r="C15" s="14" t="s">
        <v>209</v>
      </c>
      <c r="D15" s="47" t="n">
        <f aca="false">IF(OR(C15="cents/kWh",C15="percent"),B15/100,B15)</f>
        <v>0.068</v>
      </c>
      <c r="E15" s="48" t="n">
        <f aca="false">Inputs!B11</f>
        <v>0.068</v>
      </c>
      <c r="F15" s="47" t="n">
        <f aca="false">E15-D15</f>
        <v>0</v>
      </c>
      <c r="G15" s="14" t="s">
        <v>213</v>
      </c>
      <c r="H15" s="14" t="s">
        <v>204</v>
      </c>
      <c r="I15" s="16" t="s">
        <v>71</v>
      </c>
      <c r="J15" s="14" t="s">
        <v>216</v>
      </c>
    </row>
  </sheetData>
  <hyperlinks>
    <hyperlink ref="I5" r:id="rId1" display="https://www.eia.gov/electricity/monthly/xls/table_5_06_a.xlsx"/>
    <hyperlink ref="I6" r:id="rId2" display="https://www.eia.gov/electricity/monthly/xls/table_5_06_a.xlsx"/>
    <hyperlink ref="I7" r:id="rId3" display="https://www.eia.gov/electricity/monthly/xls/table_5_06_a.xlsx"/>
    <hyperlink ref="I8" r:id="rId4" display="https://docs.nlr.gov/docs/fy25osti/92536.pdf"/>
    <hyperlink ref="I9" r:id="rId5" display="https://docs.nlr.gov/docs/fy25osti/92536.pdf"/>
    <hyperlink ref="I10" r:id="rId6" display="https://docs.nlr.gov/docs/fy25osti/92536.pdf"/>
    <hyperlink ref="I11" r:id="rId7" display="https://docs.nlr.gov/docs/fy25osti/92536.pdf"/>
    <hyperlink ref="I12" r:id="rId8" display="https://docs.nlr.gov/docs/fy25osti/92536.pdf"/>
    <hyperlink ref="I13" r:id="rId9" display="https://docs.nlr.gov/docs/fy25osti/92536.pdf"/>
    <hyperlink ref="I14" r:id="rId10" display="https://docs.nlr.gov/docs/fy25osti/92536.pdf"/>
    <hyperlink ref="I15" r:id="rId11" display="https://docs.nlr.gov/docs/fy25osti/92536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2026-10-24T17:08:36Z</dcterms:created>
  <dc:creator>openpyxl</dc:creator>
  <dc:description/>
  <dc:language>en-US</dc:language>
  <cp:lastModifiedBy/>
  <dcterms:modified xsi:type="dcterms:W3CDTF">2026-10-24T17:08:36Z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